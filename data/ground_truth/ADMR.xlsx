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muhammadnajmirahmani/Belajar/ProjectDatasaur/data/ground_truth/"/>
    </mc:Choice>
  </mc:AlternateContent>
  <xr:revisionPtr revIDLastSave="0" documentId="13_ncr:1_{9F5A93FA-6227-024A-9276-DA45858A5C2C}" xr6:coauthVersionLast="47" xr6:coauthVersionMax="47" xr10:uidLastSave="{00000000-0000-0000-0000-000000000000}"/>
  <bookViews>
    <workbookView xWindow="0" yWindow="660" windowWidth="29300" windowHeight="18980" xr2:uid="{00000000-000D-0000-FFFF-FFFF00000000}"/>
  </bookViews>
  <sheets>
    <sheet name="Sheet1" sheetId="1" r:id="rId1"/>
    <sheet name="Sheet2" sheetId="2" r:id="rId2"/>
    <sheet name="lokasi keb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B2" i="2"/>
  <c r="D2" i="2" s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A21" i="1"/>
  <c r="Z21" i="1"/>
  <c r="Y21" i="1"/>
  <c r="X21" i="1"/>
  <c r="W21" i="1"/>
  <c r="V21" i="1"/>
  <c r="U21" i="1"/>
  <c r="U20" i="1" s="1"/>
  <c r="T21" i="1"/>
  <c r="T20" i="1" s="1"/>
  <c r="S21" i="1"/>
  <c r="S20" i="1" s="1"/>
  <c r="R21" i="1"/>
  <c r="R20" i="1" s="1"/>
  <c r="Q21" i="1"/>
  <c r="Q20" i="1" s="1"/>
  <c r="P21" i="1"/>
  <c r="P20" i="1" s="1"/>
  <c r="O21" i="1"/>
  <c r="O20" i="1" s="1"/>
  <c r="N21" i="1"/>
  <c r="N20" i="1" s="1"/>
  <c r="M21" i="1"/>
  <c r="M20" i="1" s="1"/>
  <c r="L21" i="1"/>
  <c r="L20" i="1" s="1"/>
  <c r="K21" i="1"/>
  <c r="K20" i="1" s="1"/>
  <c r="J21" i="1"/>
  <c r="J20" i="1" s="1"/>
  <c r="I21" i="1"/>
  <c r="I20" i="1" s="1"/>
  <c r="H21" i="1"/>
  <c r="H20" i="1" s="1"/>
  <c r="G21" i="1"/>
  <c r="F21" i="1"/>
  <c r="F20" i="1" s="1"/>
  <c r="E21" i="1"/>
  <c r="E20" i="1" s="1"/>
  <c r="D21" i="1"/>
  <c r="D20" i="1" s="1"/>
  <c r="C21" i="1"/>
  <c r="B21" i="1"/>
  <c r="B20" i="1" s="1"/>
  <c r="AA20" i="1"/>
  <c r="Z20" i="1"/>
  <c r="Y20" i="1"/>
  <c r="X20" i="1"/>
  <c r="W20" i="1"/>
  <c r="V20" i="1"/>
  <c r="G20" i="1"/>
  <c r="C20" i="1"/>
  <c r="W19" i="1"/>
  <c r="V19" i="1"/>
  <c r="U19" i="1"/>
  <c r="T19" i="1"/>
  <c r="M19" i="1"/>
  <c r="L19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A15" i="1"/>
  <c r="AA19" i="1" s="1"/>
  <c r="Z15" i="1"/>
  <c r="Z19" i="1" s="1"/>
  <c r="Y15" i="1"/>
  <c r="Y19" i="1" s="1"/>
  <c r="X15" i="1"/>
  <c r="X19" i="1" s="1"/>
  <c r="W15" i="1"/>
  <c r="V15" i="1"/>
  <c r="U15" i="1"/>
  <c r="T15" i="1"/>
  <c r="S15" i="1"/>
  <c r="S19" i="1" s="1"/>
  <c r="R15" i="1"/>
  <c r="R19" i="1" s="1"/>
  <c r="Q15" i="1"/>
  <c r="Q19" i="1" s="1"/>
  <c r="P15" i="1"/>
  <c r="P19" i="1" s="1"/>
  <c r="O15" i="1"/>
  <c r="O19" i="1" s="1"/>
  <c r="N15" i="1"/>
  <c r="N19" i="1" s="1"/>
  <c r="M15" i="1"/>
  <c r="L15" i="1"/>
  <c r="K15" i="1"/>
  <c r="K19" i="1" s="1"/>
  <c r="J15" i="1"/>
  <c r="J19" i="1" s="1"/>
  <c r="I15" i="1"/>
  <c r="I19" i="1" s="1"/>
  <c r="H15" i="1"/>
  <c r="H19" i="1" s="1"/>
  <c r="G15" i="1"/>
  <c r="G19" i="1" s="1"/>
  <c r="F15" i="1"/>
  <c r="F19" i="1" s="1"/>
  <c r="E15" i="1"/>
  <c r="E19" i="1" s="1"/>
  <c r="D15" i="1"/>
  <c r="D19" i="1" s="1"/>
  <c r="C15" i="1"/>
  <c r="C19" i="1" s="1"/>
  <c r="B15" i="1"/>
  <c r="B19" i="1" s="1"/>
</calcChain>
</file>

<file path=xl/sharedStrings.xml><?xml version="1.0" encoding="utf-8"?>
<sst xmlns="http://schemas.openxmlformats.org/spreadsheetml/2006/main" count="84" uniqueCount="71">
  <si>
    <t>(HANYA YANG BISA DIATRIBUSIKAN KE ENTITAS INDUK SAJA)</t>
  </si>
  <si>
    <t>ITMG</t>
  </si>
  <si>
    <t>DINYATAKAN DALAM RUPIAH</t>
  </si>
  <si>
    <t>kecuali nilai nominal dan data saham</t>
  </si>
  <si>
    <t>Q2 2026</t>
  </si>
  <si>
    <t>Q1 2026</t>
  </si>
  <si>
    <t>Q4 2025</t>
  </si>
  <si>
    <t>Q3 2025</t>
  </si>
  <si>
    <t>Q2 2025</t>
  </si>
  <si>
    <t>Q1 2025</t>
  </si>
  <si>
    <t>TAHUNAN 2024</t>
  </si>
  <si>
    <t>Q3 2024</t>
  </si>
  <si>
    <t>Q2 2024</t>
  </si>
  <si>
    <t>Q1 2024</t>
  </si>
  <si>
    <t>TAHUNAN 2023</t>
  </si>
  <si>
    <t>Q3 2023</t>
  </si>
  <si>
    <t>Q2 2023</t>
  </si>
  <si>
    <t>Q1 2023</t>
  </si>
  <si>
    <t>TAHUNAN 2022</t>
  </si>
  <si>
    <t>Q3 2022</t>
  </si>
  <si>
    <t>Q2 2022</t>
  </si>
  <si>
    <t>Q1 2022</t>
  </si>
  <si>
    <t>TAHUNAN 2021</t>
  </si>
  <si>
    <t>Q3 2021</t>
  </si>
  <si>
    <t>Q2 2021</t>
  </si>
  <si>
    <t>Q1 2021</t>
  </si>
  <si>
    <t>TAHUNAN 2020</t>
  </si>
  <si>
    <t>Q3 2020</t>
  </si>
  <si>
    <t>Q2 2020</t>
  </si>
  <si>
    <t>Q1 2020</t>
  </si>
  <si>
    <t>Aset</t>
  </si>
  <si>
    <t>total aset lancar</t>
  </si>
  <si>
    <t>KAS</t>
  </si>
  <si>
    <t>liabilitas</t>
  </si>
  <si>
    <t>Utang Bank SAJA Jangka Pendek + Panjang jatuh tempo</t>
  </si>
  <si>
    <t>ekuitas</t>
  </si>
  <si>
    <t>laba bersih</t>
  </si>
  <si>
    <t>pendapatan dari kontrak dengan pelanggan</t>
  </si>
  <si>
    <t>kas dari aktivitas operasi</t>
  </si>
  <si>
    <t>total share</t>
  </si>
  <si>
    <t>Harga saham rupiah</t>
  </si>
  <si>
    <t>Book Value per share</t>
  </si>
  <si>
    <t>P1</t>
  </si>
  <si>
    <t>ROA</t>
  </si>
  <si>
    <t>ROE</t>
  </si>
  <si>
    <t>PBV</t>
  </si>
  <si>
    <t>PE</t>
  </si>
  <si>
    <t>EPS</t>
  </si>
  <si>
    <t>DER</t>
  </si>
  <si>
    <t>Kurs</t>
  </si>
  <si>
    <t>USD to IDR</t>
  </si>
  <si>
    <t>Value</t>
  </si>
  <si>
    <t>Converted</t>
  </si>
  <si>
    <t>Perusahaan</t>
  </si>
  <si>
    <t xml:space="preserve">Lokasi </t>
  </si>
  <si>
    <t>Luasan</t>
  </si>
  <si>
    <t>PT Cipta Davia Mandiri</t>
  </si>
  <si>
    <t xml:space="preserve">Kutai Timur, Kaltim </t>
  </si>
  <si>
    <t>Hektar</t>
  </si>
  <si>
    <t>PT Cahaya Anugrah Plantation</t>
  </si>
  <si>
    <t>Kutai Kartanegara, Kaltim</t>
  </si>
  <si>
    <t>Multi Jayantara Abadi</t>
  </si>
  <si>
    <t>Paser, Kaltim</t>
  </si>
  <si>
    <t>Gemilang Sejahtera Abadi</t>
  </si>
  <si>
    <t>Kutai Timur, Kaltim</t>
  </si>
  <si>
    <t>Telen Prima Sawit</t>
  </si>
  <si>
    <t>Sawit Prima Nusantara</t>
  </si>
  <si>
    <t xml:space="preserve"> Telen</t>
  </si>
  <si>
    <t>Inti Energi Kaltim</t>
  </si>
  <si>
    <t>Berau, Kaltim</t>
  </si>
  <si>
    <t>Tanjung Buyu Perkasa Plantation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</si>
</sst>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_ "/>
  </numFmts>
  <fonts count="7" x14ac:knownFonts="1"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Tahoma"/>
      <family val="2"/>
    </font>
    <font>
      <sz val="11"/>
      <color theme="1"/>
      <name val="Aptos Narrow"/>
      <scheme val="minor"/>
    </font>
    <font>
      <sz val="9"/>
      <color rgb="FF000000"/>
      <name val="Helvetica"/>
      <family val="2"/>
    </font>
    <font>
      <sz val="8"/>
      <color rgb="FF000000"/>
      <name val="Arial"/>
      <family val="2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3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2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43" fontId="2" fillId="0" borderId="0" xfId="0" applyNumberFormat="1" applyFont="1" applyAlignment="1">
      <alignment horizontal="center"/>
    </xf>
    <xf numFmtId="41" fontId="0" fillId="0" borderId="0" xfId="1" applyFont="1"/>
    <xf numFmtId="41" fontId="0" fillId="0" borderId="0" xfId="0" applyNumberFormat="1"/>
    <xf numFmtId="0" fontId="4" fillId="0" borderId="0" xfId="0" applyFont="1"/>
    <xf numFmtId="3" fontId="4" fillId="0" borderId="0" xfId="0" applyNumberFormat="1" applyFont="1"/>
    <xf numFmtId="3" fontId="5" fillId="0" borderId="0" xfId="0" applyNumberFormat="1" applyFont="1"/>
    <xf numFmtId="0" fontId="6" fillId="0" borderId="0" xfId="0" applyFont="1"/>
    <xf numFmtId="41" fontId="3" fillId="0" borderId="0" xfId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A4" workbookViewId="0">
      <pane xSplit="1" topLeftCell="L1" activePane="topRight" state="frozen"/>
      <selection pane="topRight" activeCell="L44" sqref="L44:S53"/>
    </sheetView>
  </sheetViews>
  <sheetFormatPr baseColWidth="10" defaultColWidth="12.6640625" defaultRowHeight="15" customHeight="1" x14ac:dyDescent="0.2"/>
  <cols>
    <col min="1" max="1" width="59.6640625" customWidth="1"/>
    <col min="2" max="2" width="20.5" customWidth="1"/>
    <col min="3" max="3" width="19.5" customWidth="1"/>
    <col min="4" max="4" width="22.5" customWidth="1"/>
    <col min="5" max="7" width="19.5" customWidth="1"/>
    <col min="8" max="8" width="18.33203125" bestFit="1" customWidth="1"/>
    <col min="9" max="9" width="19.5" customWidth="1"/>
    <col min="10" max="15" width="18.33203125" bestFit="1" customWidth="1"/>
    <col min="16" max="17" width="18.6640625" bestFit="1" customWidth="1"/>
    <col min="18" max="18" width="32.83203125" bestFit="1" customWidth="1"/>
    <col min="19" max="19" width="18.6640625" bestFit="1" customWidth="1"/>
    <col min="20" max="20" width="15" bestFit="1" customWidth="1"/>
    <col min="21" max="23" width="8.6640625" customWidth="1"/>
    <col min="24" max="24" width="15" bestFit="1" customWidth="1"/>
    <col min="25" max="27" width="8.6640625" customWidth="1"/>
  </cols>
  <sheetData>
    <row r="1" spans="1:27" ht="14.25" customHeight="1" x14ac:dyDescent="0.2">
      <c r="A1" s="2" t="s">
        <v>0</v>
      </c>
      <c r="D1" s="4" t="s">
        <v>1</v>
      </c>
      <c r="E1" s="2"/>
      <c r="F1" s="2"/>
      <c r="G1" s="2"/>
      <c r="H1" s="2"/>
      <c r="I1" s="2"/>
      <c r="J1" s="2"/>
      <c r="K1" s="2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7" ht="14.25" customHeight="1" x14ac:dyDescent="0.2">
      <c r="A2" s="2" t="s">
        <v>2</v>
      </c>
      <c r="D2" s="4"/>
      <c r="E2" s="2"/>
      <c r="F2" s="2" t="s">
        <v>3</v>
      </c>
      <c r="G2" s="2"/>
      <c r="H2" s="2"/>
      <c r="I2" s="2"/>
      <c r="J2" s="2"/>
      <c r="K2" s="2"/>
      <c r="L2" s="4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7" ht="14.25" customHeight="1" x14ac:dyDescent="0.2">
      <c r="A3" s="2"/>
      <c r="B3" s="1" t="s">
        <v>4</v>
      </c>
      <c r="C3" s="1" t="s">
        <v>5</v>
      </c>
      <c r="D3" s="1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</row>
    <row r="4" spans="1:27" ht="14.25" customHeight="1" x14ac:dyDescent="0.2">
      <c r="A4" s="2" t="s">
        <v>30</v>
      </c>
      <c r="B4" s="18">
        <v>73794446428571</v>
      </c>
      <c r="C4" s="18">
        <v>54330338983051</v>
      </c>
      <c r="D4" s="18">
        <v>48187933333333</v>
      </c>
      <c r="E4" s="18">
        <v>44179312016667</v>
      </c>
      <c r="F4" s="18">
        <v>39412441612903</v>
      </c>
      <c r="G4" s="18">
        <v>37326843666667</v>
      </c>
      <c r="H4" s="18">
        <v>33445076725806</v>
      </c>
      <c r="I4" s="18">
        <v>27904989060606</v>
      </c>
      <c r="J4" s="18">
        <v>26374053590164</v>
      </c>
      <c r="K4" s="18">
        <v>28291291698413</v>
      </c>
      <c r="L4" s="18">
        <v>26083378707692</v>
      </c>
      <c r="M4" s="18">
        <v>23718346265625</v>
      </c>
      <c r="N4" s="18">
        <v>19959142134328</v>
      </c>
      <c r="O4" s="18">
        <v>20363392242424</v>
      </c>
      <c r="P4" s="18">
        <v>20103511937500</v>
      </c>
      <c r="Q4" s="18">
        <v>18832882060606</v>
      </c>
      <c r="R4" s="18">
        <v>17009588880597</v>
      </c>
      <c r="S4" s="18">
        <v>13998530642857</v>
      </c>
      <c r="T4" s="5"/>
      <c r="U4" s="7"/>
      <c r="V4" s="7"/>
      <c r="W4" s="7"/>
      <c r="X4" s="7"/>
      <c r="Y4" s="7"/>
      <c r="Z4" s="7"/>
      <c r="AA4" s="7"/>
    </row>
    <row r="5" spans="1:27" ht="14.25" customHeight="1" x14ac:dyDescent="0.2">
      <c r="A5" s="2" t="s">
        <v>31</v>
      </c>
      <c r="B5" s="18">
        <v>21678750000000</v>
      </c>
      <c r="C5" s="18">
        <v>14493847457627</v>
      </c>
      <c r="D5" s="18">
        <v>11340400000000</v>
      </c>
      <c r="E5" s="18">
        <v>13513758383333</v>
      </c>
      <c r="F5" s="18">
        <v>13069766758065</v>
      </c>
      <c r="G5" s="18">
        <v>13901003583333</v>
      </c>
      <c r="H5" s="18">
        <v>13593607048387</v>
      </c>
      <c r="I5" s="18">
        <v>10631080757576</v>
      </c>
      <c r="J5" s="18">
        <v>9815911229508</v>
      </c>
      <c r="K5" s="18">
        <v>14165159365079</v>
      </c>
      <c r="L5" s="18">
        <v>13608526969231</v>
      </c>
      <c r="M5" s="18">
        <v>11934823453125</v>
      </c>
      <c r="N5" s="18">
        <v>9387921059701</v>
      </c>
      <c r="O5" s="18">
        <v>10338913393939</v>
      </c>
      <c r="P5" s="18">
        <v>10099599000000</v>
      </c>
      <c r="Q5" s="18">
        <v>9266113181818</v>
      </c>
      <c r="R5" s="18">
        <v>7490815492537</v>
      </c>
      <c r="S5" s="18">
        <v>4810742585714</v>
      </c>
      <c r="T5" s="5"/>
      <c r="U5" s="7"/>
      <c r="V5" s="7"/>
      <c r="W5" s="7"/>
      <c r="X5" s="7"/>
      <c r="Y5" s="7"/>
      <c r="Z5" s="7"/>
      <c r="AA5" s="7"/>
    </row>
    <row r="6" spans="1:27" ht="14.25" customHeight="1" x14ac:dyDescent="0.2">
      <c r="A6" s="2" t="s">
        <v>32</v>
      </c>
      <c r="B6" s="18">
        <v>8777660714286</v>
      </c>
      <c r="C6" s="18">
        <v>8545694915254</v>
      </c>
      <c r="D6" s="18">
        <v>6151450000000</v>
      </c>
      <c r="E6" s="18">
        <v>7931044500000</v>
      </c>
      <c r="F6" s="18">
        <v>8547435209677</v>
      </c>
      <c r="G6" s="18">
        <v>9846873400000</v>
      </c>
      <c r="H6" s="18">
        <v>9880731564516</v>
      </c>
      <c r="I6" s="18">
        <v>7345164621212</v>
      </c>
      <c r="J6" s="18">
        <v>6543652491803</v>
      </c>
      <c r="K6" s="18">
        <v>9846160920635</v>
      </c>
      <c r="L6" s="18">
        <v>9021885092308</v>
      </c>
      <c r="M6" s="18">
        <v>9091887218750</v>
      </c>
      <c r="N6" s="18">
        <v>6781323925373</v>
      </c>
      <c r="O6" s="18">
        <v>7101381227273</v>
      </c>
      <c r="P6" s="18">
        <v>7990346359375</v>
      </c>
      <c r="Q6" s="18">
        <v>6088272121212</v>
      </c>
      <c r="R6" s="18">
        <v>6346501388060</v>
      </c>
      <c r="S6" s="18">
        <v>2485436428571</v>
      </c>
      <c r="T6" s="5"/>
      <c r="U6" s="7"/>
      <c r="V6" s="7"/>
      <c r="W6" s="7"/>
      <c r="X6" s="7"/>
      <c r="Y6" s="7"/>
      <c r="Z6" s="7"/>
      <c r="AA6" s="7"/>
    </row>
    <row r="7" spans="1:27" ht="14.25" customHeight="1" x14ac:dyDescent="0.2">
      <c r="A7" s="2" t="s">
        <v>33</v>
      </c>
      <c r="B7" s="18">
        <v>41874732142857</v>
      </c>
      <c r="C7" s="18">
        <v>23749932203390</v>
      </c>
      <c r="D7" s="18">
        <v>19564416666667</v>
      </c>
      <c r="E7" s="18">
        <v>16600357266667</v>
      </c>
      <c r="F7" s="18">
        <v>14377768193548</v>
      </c>
      <c r="G7" s="18">
        <v>11223842583333</v>
      </c>
      <c r="H7" s="18">
        <v>9215019403226</v>
      </c>
      <c r="I7" s="18">
        <v>7147032939394</v>
      </c>
      <c r="J7" s="18">
        <v>5330881737705</v>
      </c>
      <c r="K7" s="18">
        <v>9992541555556</v>
      </c>
      <c r="L7" s="18">
        <v>10113391092308</v>
      </c>
      <c r="M7" s="18">
        <v>10497748265625</v>
      </c>
      <c r="N7" s="18">
        <v>8635732029851</v>
      </c>
      <c r="O7" s="18">
        <v>10065487363636</v>
      </c>
      <c r="P7" s="18">
        <v>11208080312500</v>
      </c>
      <c r="Q7" s="18">
        <v>11410459621212</v>
      </c>
      <c r="R7" s="18">
        <v>10917261104478</v>
      </c>
      <c r="S7" s="18">
        <v>9858859828571</v>
      </c>
      <c r="T7" s="5"/>
      <c r="U7" s="7"/>
      <c r="V7" s="7"/>
      <c r="W7" s="7"/>
      <c r="X7" s="7"/>
      <c r="Y7" s="7"/>
      <c r="Z7" s="7"/>
      <c r="AA7" s="7"/>
    </row>
    <row r="8" spans="1:27" ht="14.25" customHeight="1" x14ac:dyDescent="0.2">
      <c r="A8" s="2" t="s">
        <v>34</v>
      </c>
      <c r="B8" s="18">
        <v>20674714285714</v>
      </c>
      <c r="C8" s="18">
        <v>16264593220339</v>
      </c>
      <c r="D8" s="18">
        <v>465716666667</v>
      </c>
      <c r="E8" s="18">
        <v>0</v>
      </c>
      <c r="F8" s="18">
        <v>5284096774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5"/>
      <c r="U8" s="7"/>
      <c r="V8" s="7"/>
      <c r="W8" s="7"/>
      <c r="X8" s="7"/>
      <c r="Y8" s="7"/>
      <c r="Z8" s="7"/>
      <c r="AA8" s="7"/>
    </row>
    <row r="9" spans="1:27" ht="14.25" customHeight="1" x14ac:dyDescent="0.2">
      <c r="A9" s="2" t="s">
        <v>35</v>
      </c>
      <c r="B9" s="18">
        <v>29158517857143</v>
      </c>
      <c r="C9" s="18">
        <v>27951677966102</v>
      </c>
      <c r="D9" s="18">
        <v>26025233333333</v>
      </c>
      <c r="E9" s="18">
        <v>24906639750000</v>
      </c>
      <c r="F9" s="18">
        <v>23091865741935</v>
      </c>
      <c r="G9" s="18">
        <v>24597181133333</v>
      </c>
      <c r="H9" s="18">
        <v>22763125677419</v>
      </c>
      <c r="I9" s="18">
        <v>19848835787879</v>
      </c>
      <c r="J9" s="18">
        <v>20046734606557</v>
      </c>
      <c r="K9" s="18">
        <v>17325604793651</v>
      </c>
      <c r="L9" s="18">
        <v>15020479953846</v>
      </c>
      <c r="M9" s="18">
        <v>12276610984375</v>
      </c>
      <c r="N9" s="18">
        <v>10428510641791</v>
      </c>
      <c r="O9" s="18">
        <v>9392559484848</v>
      </c>
      <c r="P9" s="18">
        <v>8351623062500</v>
      </c>
      <c r="Q9" s="18">
        <v>7356786787879</v>
      </c>
      <c r="R9" s="18">
        <v>6024100447761</v>
      </c>
      <c r="S9" s="18">
        <v>4080636514286</v>
      </c>
      <c r="T9" s="5"/>
      <c r="U9" s="7"/>
      <c r="V9" s="7"/>
      <c r="W9" s="7"/>
      <c r="X9" s="7"/>
      <c r="Y9" s="7"/>
      <c r="Z9" s="7"/>
      <c r="AA9" s="7"/>
    </row>
    <row r="10" spans="1:27" ht="14.25" customHeight="1" x14ac:dyDescent="0.2">
      <c r="A10" s="2" t="s">
        <v>36</v>
      </c>
      <c r="B10" s="18">
        <v>3110303571429</v>
      </c>
      <c r="C10" s="18">
        <v>1486576271186</v>
      </c>
      <c r="D10" s="18">
        <v>4520200000000</v>
      </c>
      <c r="E10" s="18">
        <v>3403063483333</v>
      </c>
      <c r="F10" s="18">
        <v>2266045596774</v>
      </c>
      <c r="G10" s="18">
        <v>1090834216667</v>
      </c>
      <c r="H10" s="18">
        <v>7042852790323</v>
      </c>
      <c r="I10" s="18">
        <v>5045315045455</v>
      </c>
      <c r="J10" s="18">
        <v>4078072098361</v>
      </c>
      <c r="K10" s="18">
        <v>1842013920635</v>
      </c>
      <c r="L10" s="18">
        <v>6784952246154</v>
      </c>
      <c r="M10" s="18">
        <v>3914107734375</v>
      </c>
      <c r="N10" s="18">
        <v>2440447835821</v>
      </c>
      <c r="O10" s="18">
        <v>1283465424242</v>
      </c>
      <c r="P10" s="18">
        <v>5190789187500</v>
      </c>
      <c r="Q10" s="18">
        <v>4306974454545</v>
      </c>
      <c r="R10" s="18">
        <v>3014948537313</v>
      </c>
      <c r="S10" s="18">
        <v>1192321200000</v>
      </c>
      <c r="T10" s="5"/>
      <c r="U10" s="7"/>
      <c r="V10" s="7"/>
      <c r="W10" s="7"/>
      <c r="X10" s="7"/>
      <c r="Y10" s="7"/>
      <c r="Z10" s="7"/>
      <c r="AA10" s="7"/>
    </row>
    <row r="11" spans="1:27" ht="14.25" customHeight="1" x14ac:dyDescent="0.2">
      <c r="A11" s="6" t="s">
        <v>37</v>
      </c>
      <c r="B11" s="18">
        <v>10426392857143</v>
      </c>
      <c r="C11" s="18">
        <v>4533745762712</v>
      </c>
      <c r="D11" s="18">
        <v>16215800000000</v>
      </c>
      <c r="E11" s="18">
        <v>11252404166667</v>
      </c>
      <c r="F11" s="18">
        <v>7160371516129</v>
      </c>
      <c r="G11" s="18">
        <v>3332289766667</v>
      </c>
      <c r="H11" s="18">
        <v>18615850112903</v>
      </c>
      <c r="I11" s="18">
        <v>12742521454545</v>
      </c>
      <c r="J11" s="18">
        <v>9951442000000</v>
      </c>
      <c r="K11" s="18">
        <v>4357709095238</v>
      </c>
      <c r="L11" s="18">
        <v>16707106476923</v>
      </c>
      <c r="M11" s="18">
        <v>11259812375000</v>
      </c>
      <c r="N11" s="18">
        <v>6919499283582</v>
      </c>
      <c r="O11" s="18">
        <v>3609826803030</v>
      </c>
      <c r="P11" s="18">
        <v>14189719468750</v>
      </c>
      <c r="Q11" s="18">
        <v>10098258000000</v>
      </c>
      <c r="R11" s="18">
        <v>6502353029851</v>
      </c>
      <c r="S11" s="18">
        <v>2602095171429</v>
      </c>
      <c r="T11" s="5"/>
      <c r="U11" s="7"/>
      <c r="V11" s="7"/>
      <c r="W11" s="7"/>
      <c r="X11" s="7"/>
      <c r="Y11" s="7"/>
      <c r="Z11" s="7"/>
      <c r="AA11" s="7"/>
    </row>
    <row r="12" spans="1:27" ht="14.25" customHeight="1" x14ac:dyDescent="0.2">
      <c r="A12" s="2" t="s">
        <v>38</v>
      </c>
      <c r="B12" s="18">
        <v>-3101160714286</v>
      </c>
      <c r="C12" s="18">
        <v>789542372881</v>
      </c>
      <c r="D12" s="18">
        <v>2949150000000</v>
      </c>
      <c r="E12" s="18">
        <v>1883328200000</v>
      </c>
      <c r="F12" s="18">
        <v>2103585532258</v>
      </c>
      <c r="G12" s="18">
        <v>257481816667</v>
      </c>
      <c r="H12" s="18">
        <v>8453991790323</v>
      </c>
      <c r="I12" s="18">
        <v>5606948833333</v>
      </c>
      <c r="J12" s="18">
        <v>4732409065574</v>
      </c>
      <c r="K12" s="18">
        <v>2217852968254</v>
      </c>
      <c r="L12" s="18">
        <v>4562846507692</v>
      </c>
      <c r="M12" s="18">
        <v>3577381140625</v>
      </c>
      <c r="N12" s="18">
        <v>1713606343284</v>
      </c>
      <c r="O12" s="18">
        <v>116235530303</v>
      </c>
      <c r="P12" s="18">
        <v>7495183718750</v>
      </c>
      <c r="Q12" s="18">
        <v>4630436742424</v>
      </c>
      <c r="R12" s="18">
        <v>3982126432836</v>
      </c>
      <c r="S12" s="18">
        <v>960991857143</v>
      </c>
      <c r="T12" s="5"/>
      <c r="U12" s="7"/>
      <c r="V12" s="7"/>
      <c r="W12" s="7"/>
      <c r="X12" s="7"/>
      <c r="Y12" s="7"/>
      <c r="Z12" s="7"/>
      <c r="AA12" s="7"/>
    </row>
    <row r="13" spans="1:27" ht="14.25" customHeight="1" x14ac:dyDescent="0.2">
      <c r="A13" s="2" t="s">
        <v>39</v>
      </c>
      <c r="B13" s="18">
        <v>40882331500</v>
      </c>
      <c r="C13" s="18">
        <v>40882331500</v>
      </c>
      <c r="D13" s="18">
        <v>40882331500</v>
      </c>
      <c r="E13" s="18">
        <v>40882331500</v>
      </c>
      <c r="F13" s="18">
        <v>40882331500</v>
      </c>
      <c r="G13" s="18">
        <v>40882331500</v>
      </c>
      <c r="H13" s="18">
        <v>40882331500</v>
      </c>
      <c r="I13" s="18">
        <v>40882331500</v>
      </c>
      <c r="J13" s="18">
        <v>40882331500</v>
      </c>
      <c r="K13" s="18">
        <v>40882331500</v>
      </c>
      <c r="L13" s="18">
        <v>40882331500</v>
      </c>
      <c r="M13" s="18">
        <v>40882331500</v>
      </c>
      <c r="N13" s="18">
        <v>40882331500</v>
      </c>
      <c r="O13" s="18">
        <v>40882331500</v>
      </c>
      <c r="P13" s="18">
        <v>40882331500</v>
      </c>
      <c r="Q13" s="18">
        <v>40882331500</v>
      </c>
      <c r="R13" s="18">
        <v>40882331500</v>
      </c>
      <c r="S13" s="18">
        <v>40882331500</v>
      </c>
      <c r="T13" s="5"/>
      <c r="U13" s="7"/>
      <c r="V13" s="7"/>
      <c r="W13" s="7"/>
      <c r="X13" s="7"/>
      <c r="Y13" s="7"/>
      <c r="Z13" s="7"/>
      <c r="AA13" s="7"/>
    </row>
    <row r="14" spans="1:27" ht="14.25" customHeight="1" x14ac:dyDescent="0.2">
      <c r="A14" s="2" t="s">
        <v>40</v>
      </c>
      <c r="B14" s="4">
        <v>1675</v>
      </c>
      <c r="C14" s="4">
        <v>1600</v>
      </c>
      <c r="D14" s="4">
        <v>1665</v>
      </c>
      <c r="E14" s="4">
        <v>1330</v>
      </c>
      <c r="F14" s="4">
        <v>1010</v>
      </c>
      <c r="G14" s="4">
        <v>1010</v>
      </c>
      <c r="H14" s="5">
        <v>950</v>
      </c>
      <c r="I14" s="5">
        <v>1255</v>
      </c>
      <c r="J14" s="5">
        <v>1300</v>
      </c>
      <c r="K14" s="5">
        <v>1345</v>
      </c>
      <c r="L14" s="5">
        <v>1300</v>
      </c>
      <c r="M14" s="5">
        <v>1185</v>
      </c>
      <c r="N14" s="5">
        <v>1110</v>
      </c>
      <c r="O14" s="5">
        <v>810</v>
      </c>
      <c r="P14" s="5">
        <v>880</v>
      </c>
      <c r="Q14" s="5">
        <v>1820</v>
      </c>
      <c r="R14" s="5">
        <v>1760</v>
      </c>
      <c r="S14" s="5">
        <v>1815</v>
      </c>
      <c r="T14" s="5">
        <v>2470</v>
      </c>
      <c r="U14" s="7"/>
      <c r="V14" s="7"/>
      <c r="W14" s="4"/>
      <c r="X14" s="7"/>
      <c r="Y14" s="7"/>
      <c r="Z14" s="7"/>
      <c r="AA14" s="7"/>
    </row>
    <row r="15" spans="1:27" ht="14.25" customHeight="1" x14ac:dyDescent="0.2">
      <c r="A15" s="8" t="s">
        <v>41</v>
      </c>
      <c r="B15" s="6">
        <f>B9/B13</f>
        <v>713.2303072573784</v>
      </c>
      <c r="C15" s="6">
        <f>C9/C13</f>
        <v>683.71046710244502</v>
      </c>
      <c r="D15" s="6">
        <f>D9/D13</f>
        <v>636.58877511261801</v>
      </c>
      <c r="E15" s="6">
        <f>E9/G13</f>
        <v>609.22747886822458</v>
      </c>
      <c r="F15" s="6">
        <f>F9/F13</f>
        <v>564.83729999437537</v>
      </c>
      <c r="G15" s="6" t="e">
        <f>G9/#REF!</f>
        <v>#REF!</v>
      </c>
      <c r="H15" s="6">
        <f t="shared" ref="H15:AA15" si="0">H9/H13</f>
        <v>556.79617189687428</v>
      </c>
      <c r="I15" s="6">
        <f t="shared" si="0"/>
        <v>485.51134584579648</v>
      </c>
      <c r="J15" s="6">
        <f t="shared" si="0"/>
        <v>490.35203891336283</v>
      </c>
      <c r="K15" s="6">
        <f t="shared" si="0"/>
        <v>423.79199419316387</v>
      </c>
      <c r="L15" s="6">
        <f t="shared" si="0"/>
        <v>367.40761602224177</v>
      </c>
      <c r="M15" s="6">
        <f t="shared" si="0"/>
        <v>300.29136142528955</v>
      </c>
      <c r="N15" s="6">
        <f t="shared" si="0"/>
        <v>255.0860055961094</v>
      </c>
      <c r="O15" s="6">
        <f t="shared" si="0"/>
        <v>229.7461798343864</v>
      </c>
      <c r="P15" s="6">
        <f t="shared" si="0"/>
        <v>204.28441226499032</v>
      </c>
      <c r="Q15" s="6">
        <f t="shared" si="0"/>
        <v>179.95027479973837</v>
      </c>
      <c r="R15" s="6">
        <f t="shared" si="0"/>
        <v>147.35217456374767</v>
      </c>
      <c r="S15" s="6">
        <f t="shared" si="0"/>
        <v>99.814182913858517</v>
      </c>
      <c r="T15" s="6" t="e">
        <f t="shared" si="0"/>
        <v>#DIV/0!</v>
      </c>
      <c r="U15" s="6" t="e">
        <f t="shared" si="0"/>
        <v>#DIV/0!</v>
      </c>
      <c r="V15" s="6" t="e">
        <f t="shared" si="0"/>
        <v>#DIV/0!</v>
      </c>
      <c r="W15" s="6" t="e">
        <f t="shared" si="0"/>
        <v>#DIV/0!</v>
      </c>
      <c r="X15" s="9" t="e">
        <f t="shared" si="0"/>
        <v>#DIV/0!</v>
      </c>
      <c r="Y15" s="9" t="e">
        <f t="shared" si="0"/>
        <v>#DIV/0!</v>
      </c>
      <c r="Z15" s="9" t="e">
        <f t="shared" si="0"/>
        <v>#DIV/0!</v>
      </c>
      <c r="AA15" s="9" t="e">
        <f t="shared" si="0"/>
        <v>#DIV/0!</v>
      </c>
    </row>
    <row r="16" spans="1:27" ht="14.25" customHeight="1" x14ac:dyDescent="0.2">
      <c r="A16" s="8" t="s">
        <v>42</v>
      </c>
      <c r="B16" s="6">
        <f t="shared" ref="B16:AA16" si="1">B5-B7</f>
        <v>-20195982142857</v>
      </c>
      <c r="C16" s="6">
        <f t="shared" si="1"/>
        <v>-9256084745763</v>
      </c>
      <c r="D16" s="6">
        <f t="shared" si="1"/>
        <v>-8224016666667</v>
      </c>
      <c r="E16" s="6">
        <f t="shared" si="1"/>
        <v>-3086598883334</v>
      </c>
      <c r="F16" s="6">
        <f t="shared" si="1"/>
        <v>-1308001435483</v>
      </c>
      <c r="G16" s="6">
        <f t="shared" si="1"/>
        <v>2677161000000</v>
      </c>
      <c r="H16" s="6">
        <f t="shared" si="1"/>
        <v>4378587645161</v>
      </c>
      <c r="I16" s="6">
        <f t="shared" si="1"/>
        <v>3484047818182</v>
      </c>
      <c r="J16" s="6">
        <f t="shared" si="1"/>
        <v>4485029491803</v>
      </c>
      <c r="K16" s="6">
        <f t="shared" si="1"/>
        <v>4172617809523</v>
      </c>
      <c r="L16" s="6">
        <f t="shared" si="1"/>
        <v>3495135876923</v>
      </c>
      <c r="M16" s="6">
        <f t="shared" si="1"/>
        <v>1437075187500</v>
      </c>
      <c r="N16" s="6">
        <f t="shared" si="1"/>
        <v>752189029850</v>
      </c>
      <c r="O16" s="6">
        <f t="shared" si="1"/>
        <v>273426030303</v>
      </c>
      <c r="P16" s="6">
        <f t="shared" si="1"/>
        <v>-1108481312500</v>
      </c>
      <c r="Q16" s="6">
        <f t="shared" si="1"/>
        <v>-2144346439394</v>
      </c>
      <c r="R16" s="6">
        <f t="shared" si="1"/>
        <v>-3426445611941</v>
      </c>
      <c r="S16" s="6">
        <f t="shared" si="1"/>
        <v>-5048117242857</v>
      </c>
      <c r="T16" s="6">
        <f t="shared" si="1"/>
        <v>0</v>
      </c>
      <c r="U16" s="6">
        <f t="shared" si="1"/>
        <v>0</v>
      </c>
      <c r="V16" s="6">
        <f t="shared" si="1"/>
        <v>0</v>
      </c>
      <c r="W16" s="6">
        <f t="shared" si="1"/>
        <v>0</v>
      </c>
      <c r="X16" s="9">
        <f t="shared" si="1"/>
        <v>0</v>
      </c>
      <c r="Y16" s="9">
        <f t="shared" si="1"/>
        <v>0</v>
      </c>
      <c r="Z16" s="9">
        <f t="shared" si="1"/>
        <v>0</v>
      </c>
      <c r="AA16" s="9">
        <f t="shared" si="1"/>
        <v>0</v>
      </c>
    </row>
    <row r="17" spans="1:27" ht="14.25" customHeight="1" x14ac:dyDescent="0.2">
      <c r="A17" s="8" t="s">
        <v>43</v>
      </c>
      <c r="B17" s="10">
        <f t="shared" ref="B17:AA17" si="2">B10/B4</f>
        <v>4.2148206565105199E-2</v>
      </c>
      <c r="C17" s="10">
        <f t="shared" si="2"/>
        <v>2.7361807399172593E-2</v>
      </c>
      <c r="D17" s="10">
        <f t="shared" si="2"/>
        <v>9.3803566314665868E-2</v>
      </c>
      <c r="E17" s="10">
        <f t="shared" si="2"/>
        <v>7.7028439964143561E-2</v>
      </c>
      <c r="F17" s="10">
        <f t="shared" si="2"/>
        <v>5.7495691818091603E-2</v>
      </c>
      <c r="G17" s="10">
        <f t="shared" si="2"/>
        <v>2.9223853653640657E-2</v>
      </c>
      <c r="H17" s="10">
        <f t="shared" si="2"/>
        <v>0.21057965715141511</v>
      </c>
      <c r="I17" s="10">
        <f t="shared" si="2"/>
        <v>0.18080333357225953</v>
      </c>
      <c r="J17" s="10">
        <f t="shared" si="2"/>
        <v>0.154624395693269</v>
      </c>
      <c r="K17" s="10">
        <f t="shared" si="2"/>
        <v>6.5108866016829053E-2</v>
      </c>
      <c r="L17" s="10">
        <f t="shared" si="2"/>
        <v>0.26012551219651286</v>
      </c>
      <c r="M17" s="10">
        <f t="shared" si="2"/>
        <v>0.16502447896410538</v>
      </c>
      <c r="N17" s="10">
        <f t="shared" si="2"/>
        <v>0.12227218080799378</v>
      </c>
      <c r="O17" s="10">
        <f t="shared" si="2"/>
        <v>6.3028075527028202E-2</v>
      </c>
      <c r="P17" s="10">
        <f t="shared" si="2"/>
        <v>0.25820310419580889</v>
      </c>
      <c r="Q17" s="10">
        <f t="shared" si="2"/>
        <v>0.22869438892489996</v>
      </c>
      <c r="R17" s="10">
        <f t="shared" si="2"/>
        <v>0.17724993581427359</v>
      </c>
      <c r="S17" s="10">
        <f t="shared" si="2"/>
        <v>8.5174739436556735E-2</v>
      </c>
      <c r="T17" s="10" t="e">
        <f t="shared" si="2"/>
        <v>#DIV/0!</v>
      </c>
      <c r="U17" s="10" t="e">
        <f t="shared" si="2"/>
        <v>#DIV/0!</v>
      </c>
      <c r="V17" s="10" t="e">
        <f t="shared" si="2"/>
        <v>#DIV/0!</v>
      </c>
      <c r="W17" s="10" t="e">
        <f t="shared" si="2"/>
        <v>#DIV/0!</v>
      </c>
      <c r="X17" s="10" t="e">
        <f t="shared" si="2"/>
        <v>#DIV/0!</v>
      </c>
      <c r="Y17" s="10" t="e">
        <f t="shared" si="2"/>
        <v>#DIV/0!</v>
      </c>
      <c r="Z17" s="10" t="e">
        <f t="shared" si="2"/>
        <v>#DIV/0!</v>
      </c>
      <c r="AA17" s="10" t="e">
        <f t="shared" si="2"/>
        <v>#DIV/0!</v>
      </c>
    </row>
    <row r="18" spans="1:27" ht="14.25" customHeight="1" x14ac:dyDescent="0.2">
      <c r="A18" s="8" t="s">
        <v>44</v>
      </c>
      <c r="B18" s="10">
        <f t="shared" ref="B18:AA18" si="3">B10/B9</f>
        <v>0.10666878154326576</v>
      </c>
      <c r="C18" s="10">
        <f t="shared" si="3"/>
        <v>5.3183793580794121E-2</v>
      </c>
      <c r="D18" s="10">
        <f t="shared" si="3"/>
        <v>0.17368528236058303</v>
      </c>
      <c r="E18" s="10">
        <f t="shared" si="3"/>
        <v>0.13663278216135116</v>
      </c>
      <c r="F18" s="10">
        <f t="shared" si="3"/>
        <v>9.8131767354720248E-2</v>
      </c>
      <c r="G18" s="10">
        <f t="shared" si="3"/>
        <v>4.4347936080722287E-2</v>
      </c>
      <c r="H18" s="10">
        <f t="shared" si="3"/>
        <v>0.3093974390920094</v>
      </c>
      <c r="I18" s="10">
        <f t="shared" si="3"/>
        <v>0.25418695078005532</v>
      </c>
      <c r="J18" s="10">
        <f t="shared" si="3"/>
        <v>0.20342824796149697</v>
      </c>
      <c r="K18" s="10">
        <f t="shared" si="3"/>
        <v>0.10631743841404079</v>
      </c>
      <c r="L18" s="10">
        <f t="shared" si="3"/>
        <v>0.45171341175530882</v>
      </c>
      <c r="M18" s="10">
        <f t="shared" si="3"/>
        <v>0.31882640407492446</v>
      </c>
      <c r="N18" s="10">
        <f t="shared" si="3"/>
        <v>0.23401690995463909</v>
      </c>
      <c r="O18" s="10">
        <f t="shared" si="3"/>
        <v>0.1366470370842448</v>
      </c>
      <c r="P18" s="10">
        <f t="shared" si="3"/>
        <v>0.62153058736659195</v>
      </c>
      <c r="Q18" s="10">
        <f t="shared" si="3"/>
        <v>0.58544233763049192</v>
      </c>
      <c r="R18" s="10">
        <f t="shared" si="3"/>
        <v>0.50048111970536235</v>
      </c>
      <c r="S18" s="10">
        <f t="shared" si="3"/>
        <v>0.29219000413924973</v>
      </c>
      <c r="T18" s="10" t="e">
        <f t="shared" si="3"/>
        <v>#DIV/0!</v>
      </c>
      <c r="U18" s="10" t="e">
        <f t="shared" si="3"/>
        <v>#DIV/0!</v>
      </c>
      <c r="V18" s="10" t="e">
        <f t="shared" si="3"/>
        <v>#DIV/0!</v>
      </c>
      <c r="W18" s="10" t="e">
        <f t="shared" si="3"/>
        <v>#DIV/0!</v>
      </c>
      <c r="X18" s="10" t="e">
        <f t="shared" si="3"/>
        <v>#DIV/0!</v>
      </c>
      <c r="Y18" s="10" t="e">
        <f t="shared" si="3"/>
        <v>#DIV/0!</v>
      </c>
      <c r="Z18" s="10" t="e">
        <f t="shared" si="3"/>
        <v>#DIV/0!</v>
      </c>
      <c r="AA18" s="10" t="e">
        <f t="shared" si="3"/>
        <v>#DIV/0!</v>
      </c>
    </row>
    <row r="19" spans="1:27" ht="14.25" customHeight="1" x14ac:dyDescent="0.2">
      <c r="A19" s="8" t="s">
        <v>45</v>
      </c>
      <c r="B19" s="11">
        <f t="shared" ref="B19:AA19" si="4">B14/B15</f>
        <v>2.3484700284834568</v>
      </c>
      <c r="C19" s="11">
        <f t="shared" si="4"/>
        <v>2.3401718665808593</v>
      </c>
      <c r="D19" s="11">
        <f t="shared" si="4"/>
        <v>2.6155032339447821</v>
      </c>
      <c r="E19" s="11">
        <f t="shared" si="4"/>
        <v>2.1830925986312542</v>
      </c>
      <c r="F19" s="11">
        <f t="shared" si="4"/>
        <v>1.7881255363448156</v>
      </c>
      <c r="G19" s="11" t="e">
        <f t="shared" si="4"/>
        <v>#REF!</v>
      </c>
      <c r="H19" s="11">
        <f t="shared" si="4"/>
        <v>1.7061898912910487</v>
      </c>
      <c r="I19" s="11">
        <f t="shared" si="4"/>
        <v>2.5849035470297768</v>
      </c>
      <c r="J19" s="11">
        <f t="shared" si="4"/>
        <v>2.6511565096799541</v>
      </c>
      <c r="K19" s="11">
        <f t="shared" si="4"/>
        <v>3.1737267773561353</v>
      </c>
      <c r="L19" s="11">
        <f t="shared" si="4"/>
        <v>3.538304442554892</v>
      </c>
      <c r="M19" s="11">
        <f t="shared" si="4"/>
        <v>3.9461674634114305</v>
      </c>
      <c r="N19" s="11">
        <f t="shared" si="4"/>
        <v>4.3514735251980827</v>
      </c>
      <c r="O19" s="11">
        <f t="shared" si="4"/>
        <v>3.5256298954955083</v>
      </c>
      <c r="P19" s="11">
        <f t="shared" si="4"/>
        <v>4.3077197630649176</v>
      </c>
      <c r="Q19" s="11">
        <f t="shared" si="4"/>
        <v>10.113905088644222</v>
      </c>
      <c r="R19" s="11">
        <f t="shared" si="4"/>
        <v>11.944173916745198</v>
      </c>
      <c r="S19" s="11">
        <f t="shared" si="4"/>
        <v>18.183788586100821</v>
      </c>
      <c r="T19" s="11" t="e">
        <f t="shared" si="4"/>
        <v>#DIV/0!</v>
      </c>
      <c r="U19" s="11" t="e">
        <f t="shared" si="4"/>
        <v>#DIV/0!</v>
      </c>
      <c r="V19" s="11" t="e">
        <f t="shared" si="4"/>
        <v>#DIV/0!</v>
      </c>
      <c r="W19" s="11" t="e">
        <f t="shared" si="4"/>
        <v>#DIV/0!</v>
      </c>
      <c r="X19" s="9" t="e">
        <f t="shared" si="4"/>
        <v>#DIV/0!</v>
      </c>
      <c r="Y19" s="9" t="e">
        <f t="shared" si="4"/>
        <v>#DIV/0!</v>
      </c>
      <c r="Z19" s="9" t="e">
        <f t="shared" si="4"/>
        <v>#DIV/0!</v>
      </c>
      <c r="AA19" s="9" t="e">
        <f t="shared" si="4"/>
        <v>#DIV/0!</v>
      </c>
    </row>
    <row r="20" spans="1:27" ht="14.25" customHeight="1" x14ac:dyDescent="0.2">
      <c r="A20" s="8" t="s">
        <v>46</v>
      </c>
      <c r="B20" s="11">
        <f t="shared" ref="B20:AA20" si="5">B14/B21</f>
        <v>22.016469997183737</v>
      </c>
      <c r="C20" s="11">
        <f t="shared" si="5"/>
        <v>44.001597272781773</v>
      </c>
      <c r="D20" s="11">
        <f t="shared" si="5"/>
        <v>15.058865082850316</v>
      </c>
      <c r="E20" s="11">
        <f t="shared" si="5"/>
        <v>15.977809747394415</v>
      </c>
      <c r="F20" s="11">
        <f t="shared" si="5"/>
        <v>18.221678713695407</v>
      </c>
      <c r="G20" s="11" t="e">
        <f t="shared" si="5"/>
        <v>#REF!</v>
      </c>
      <c r="H20" s="11">
        <f t="shared" si="5"/>
        <v>5.5145572513405892</v>
      </c>
      <c r="I20" s="11">
        <f t="shared" si="5"/>
        <v>10.169300741431295</v>
      </c>
      <c r="J20" s="11">
        <f t="shared" si="5"/>
        <v>13.032391205481652</v>
      </c>
      <c r="K20" s="11">
        <f t="shared" si="5"/>
        <v>29.85142253894821</v>
      </c>
      <c r="L20" s="11">
        <f t="shared" si="5"/>
        <v>7.8330736933522269</v>
      </c>
      <c r="M20" s="11">
        <f t="shared" si="5"/>
        <v>12.377166423406004</v>
      </c>
      <c r="N20" s="11">
        <f t="shared" si="5"/>
        <v>18.594696964597794</v>
      </c>
      <c r="O20" s="11">
        <f t="shared" si="5"/>
        <v>25.800997743711839</v>
      </c>
      <c r="P20" s="11">
        <f t="shared" si="5"/>
        <v>6.9308250480746381</v>
      </c>
      <c r="Q20" s="11">
        <f t="shared" si="5"/>
        <v>17.275663952796865</v>
      </c>
      <c r="R20" s="11">
        <f t="shared" si="5"/>
        <v>23.865383620818381</v>
      </c>
      <c r="S20" s="11">
        <f t="shared" si="5"/>
        <v>62.232753785221632</v>
      </c>
      <c r="T20" s="11" t="e">
        <f t="shared" si="5"/>
        <v>#DIV/0!</v>
      </c>
      <c r="U20" s="11" t="e">
        <f t="shared" si="5"/>
        <v>#DIV/0!</v>
      </c>
      <c r="V20" s="11" t="e">
        <f t="shared" si="5"/>
        <v>#DIV/0!</v>
      </c>
      <c r="W20" s="11" t="e">
        <f t="shared" si="5"/>
        <v>#DIV/0!</v>
      </c>
      <c r="X20" s="9" t="e">
        <f t="shared" si="5"/>
        <v>#DIV/0!</v>
      </c>
      <c r="Y20" s="9" t="e">
        <f t="shared" si="5"/>
        <v>#DIV/0!</v>
      </c>
      <c r="Z20" s="9" t="e">
        <f t="shared" si="5"/>
        <v>#DIV/0!</v>
      </c>
      <c r="AA20" s="9" t="e">
        <f t="shared" si="5"/>
        <v>#DIV/0!</v>
      </c>
    </row>
    <row r="21" spans="1:27" ht="14.25" customHeight="1" x14ac:dyDescent="0.2">
      <c r="A21" s="8" t="s">
        <v>47</v>
      </c>
      <c r="B21" s="6">
        <f>B10/B13</f>
        <v>76.079407834873606</v>
      </c>
      <c r="C21" s="6">
        <f>C10/C13</f>
        <v>36.362316351404765</v>
      </c>
      <c r="D21" s="6">
        <f>D10/D13</f>
        <v>110.56610115301277</v>
      </c>
      <c r="E21" s="6">
        <f>E10/G13</f>
        <v>83.240445406911292</v>
      </c>
      <c r="F21" s="6">
        <f>F10/F13</f>
        <v>55.428482516316372</v>
      </c>
      <c r="G21" s="6" t="e">
        <f>G10/#REF!</f>
        <v>#REF!</v>
      </c>
      <c r="H21" s="6">
        <f t="shared" ref="H21:AA21" si="6">H10/H13</f>
        <v>172.27130968112715</v>
      </c>
      <c r="I21" s="6">
        <f t="shared" si="6"/>
        <v>123.41064856966389</v>
      </c>
      <c r="J21" s="6">
        <f t="shared" si="6"/>
        <v>99.751456160493191</v>
      </c>
      <c r="K21" s="6">
        <f t="shared" si="6"/>
        <v>45.056479242995231</v>
      </c>
      <c r="L21" s="6">
        <f t="shared" si="6"/>
        <v>165.96294773829129</v>
      </c>
      <c r="M21" s="6">
        <f t="shared" si="6"/>
        <v>95.74081493798856</v>
      </c>
      <c r="N21" s="6">
        <f t="shared" si="6"/>
        <v>59.694438802273297</v>
      </c>
      <c r="O21" s="6">
        <f t="shared" si="6"/>
        <v>31.394134755792976</v>
      </c>
      <c r="P21" s="6">
        <f t="shared" si="6"/>
        <v>126.96901074489844</v>
      </c>
      <c r="Q21" s="6">
        <f t="shared" si="6"/>
        <v>105.35050953600823</v>
      </c>
      <c r="R21" s="6">
        <f t="shared" si="6"/>
        <v>73.74698131668444</v>
      </c>
      <c r="S21" s="6">
        <f t="shared" si="6"/>
        <v>29.164706518756152</v>
      </c>
      <c r="T21" s="6" t="e">
        <f t="shared" si="6"/>
        <v>#DIV/0!</v>
      </c>
      <c r="U21" s="6" t="e">
        <f t="shared" si="6"/>
        <v>#DIV/0!</v>
      </c>
      <c r="V21" s="6" t="e">
        <f t="shared" si="6"/>
        <v>#DIV/0!</v>
      </c>
      <c r="W21" s="6" t="e">
        <f t="shared" si="6"/>
        <v>#DIV/0!</v>
      </c>
      <c r="X21" s="9" t="e">
        <f t="shared" si="6"/>
        <v>#DIV/0!</v>
      </c>
      <c r="Y21" s="9" t="e">
        <f t="shared" si="6"/>
        <v>#DIV/0!</v>
      </c>
      <c r="Z21" s="9" t="e">
        <f t="shared" si="6"/>
        <v>#DIV/0!</v>
      </c>
      <c r="AA21" s="9" t="e">
        <f t="shared" si="6"/>
        <v>#DIV/0!</v>
      </c>
    </row>
    <row r="22" spans="1:27" ht="14.25" customHeight="1" x14ac:dyDescent="0.2">
      <c r="A22" s="8" t="s">
        <v>48</v>
      </c>
      <c r="B22" s="10">
        <f t="shared" ref="B22:AA22" si="7">B7/B9</f>
        <v>1.4361063325651475</v>
      </c>
      <c r="C22" s="10">
        <f t="shared" si="7"/>
        <v>0.84967822798303527</v>
      </c>
      <c r="D22" s="10">
        <f t="shared" si="7"/>
        <v>0.75174798304724455</v>
      </c>
      <c r="E22" s="10">
        <f t="shared" si="7"/>
        <v>0.66650328720746044</v>
      </c>
      <c r="F22" s="10">
        <f t="shared" si="7"/>
        <v>0.62263345691629701</v>
      </c>
      <c r="G22" s="10">
        <f t="shared" si="7"/>
        <v>0.45630605078250003</v>
      </c>
      <c r="H22" s="10">
        <f t="shared" si="7"/>
        <v>0.40482223460055361</v>
      </c>
      <c r="I22" s="10">
        <f t="shared" si="7"/>
        <v>0.36007315571417275</v>
      </c>
      <c r="J22" s="10">
        <f t="shared" si="7"/>
        <v>0.26592269725371359</v>
      </c>
      <c r="K22" s="10">
        <f t="shared" si="7"/>
        <v>0.57674994175197769</v>
      </c>
      <c r="L22" s="10">
        <f t="shared" si="7"/>
        <v>0.67330678669282218</v>
      </c>
      <c r="M22" s="10">
        <f t="shared" si="7"/>
        <v>0.85510148354346005</v>
      </c>
      <c r="N22" s="10">
        <f t="shared" si="7"/>
        <v>0.82808872009434831</v>
      </c>
      <c r="O22" s="10">
        <f t="shared" si="7"/>
        <v>1.0716447822208166</v>
      </c>
      <c r="P22" s="10">
        <f t="shared" si="7"/>
        <v>1.3420242063876071</v>
      </c>
      <c r="Q22" s="10">
        <f t="shared" si="7"/>
        <v>1.5510113246739472</v>
      </c>
      <c r="R22" s="10">
        <f t="shared" si="7"/>
        <v>1.8122641212823167</v>
      </c>
      <c r="S22" s="10">
        <f t="shared" si="7"/>
        <v>2.4160102949762559</v>
      </c>
      <c r="T22" s="10" t="e">
        <f t="shared" si="7"/>
        <v>#DIV/0!</v>
      </c>
      <c r="U22" s="10" t="e">
        <f t="shared" si="7"/>
        <v>#DIV/0!</v>
      </c>
      <c r="V22" s="10" t="e">
        <f t="shared" si="7"/>
        <v>#DIV/0!</v>
      </c>
      <c r="W22" s="10" t="e">
        <f t="shared" si="7"/>
        <v>#DIV/0!</v>
      </c>
      <c r="X22" s="10" t="e">
        <f t="shared" si="7"/>
        <v>#DIV/0!</v>
      </c>
      <c r="Y22" s="10" t="e">
        <f t="shared" si="7"/>
        <v>#DIV/0!</v>
      </c>
      <c r="Z22" s="10" t="e">
        <f t="shared" si="7"/>
        <v>#DIV/0!</v>
      </c>
      <c r="AA22" s="10" t="e">
        <f t="shared" si="7"/>
        <v>#DIV/0!</v>
      </c>
    </row>
    <row r="23" spans="1:27" ht="14.25" customHeight="1" x14ac:dyDescent="0.2"/>
    <row r="24" spans="1:27" ht="14.25" customHeight="1" x14ac:dyDescent="0.2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1:27" ht="14.25" customHeight="1" x14ac:dyDescent="0.2"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spans="1:27" ht="14.25" customHeight="1" x14ac:dyDescent="0.2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spans="1:27" ht="14.2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1:27" ht="14.25" customHeight="1" x14ac:dyDescent="0.2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spans="1:27" ht="14.25" customHeight="1" x14ac:dyDescent="0.2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spans="1:27" ht="14.25" customHeight="1" x14ac:dyDescent="0.2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spans="1:27" ht="14.2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spans="1:27" ht="14.25" customHeight="1" x14ac:dyDescent="0.2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spans="2:28" ht="14.25" customHeight="1" x14ac:dyDescent="0.2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spans="2:28" ht="14.25" customHeight="1" x14ac:dyDescent="0.2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spans="2:28" ht="14.2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spans="2:28" ht="14.25" customHeight="1" x14ac:dyDescent="0.2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spans="2:28" ht="14.25" customHeight="1" x14ac:dyDescent="0.2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spans="2:28" ht="14.25" customHeight="1" x14ac:dyDescent="0.2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spans="2:28" ht="14.25" customHeight="1" x14ac:dyDescent="0.2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spans="2:28" ht="14.25" customHeight="1" x14ac:dyDescent="0.2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 spans="2:28" ht="14.25" customHeight="1" x14ac:dyDescent="0.2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 spans="2:28" ht="14.25" customHeight="1" x14ac:dyDescent="0.2"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2:28" ht="14.25" customHeight="1" x14ac:dyDescent="0.2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spans="2:28" ht="14.25" customHeight="1" x14ac:dyDescent="0.2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spans="2:28" ht="14.25" customHeight="1" x14ac:dyDescent="0.2"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spans="2:28" ht="14.25" customHeight="1" x14ac:dyDescent="0.2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spans="2:28" ht="14.25" customHeight="1" x14ac:dyDescent="0.2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spans="2:28" ht="14.25" customHeight="1" x14ac:dyDescent="0.2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spans="2:28" ht="14.25" customHeight="1" x14ac:dyDescent="0.2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spans="2:28" ht="14.25" customHeight="1" x14ac:dyDescent="0.2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spans="2:28" ht="14.25" customHeight="1" x14ac:dyDescent="0.2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spans="2:28" ht="14.25" customHeight="1" x14ac:dyDescent="0.2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spans="2:28" ht="14.25" customHeight="1" x14ac:dyDescent="0.2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 spans="2:28" ht="14.25" customHeight="1" x14ac:dyDescent="0.2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spans="2:28" ht="14.25" customHeight="1" x14ac:dyDescent="0.2"/>
    <row r="56" spans="2:28" ht="14.25" customHeight="1" x14ac:dyDescent="0.2"/>
    <row r="57" spans="2:28" ht="14.25" customHeight="1" x14ac:dyDescent="0.2"/>
    <row r="58" spans="2:28" ht="14.25" customHeight="1" x14ac:dyDescent="0.2"/>
    <row r="59" spans="2:28" ht="14.25" customHeight="1" x14ac:dyDescent="0.2"/>
    <row r="60" spans="2:28" ht="14.25" customHeight="1" x14ac:dyDescent="0.2"/>
    <row r="61" spans="2:28" ht="14.25" customHeight="1" x14ac:dyDescent="0.2"/>
    <row r="62" spans="2:28" ht="14.25" customHeight="1" x14ac:dyDescent="0.2"/>
    <row r="63" spans="2:28" ht="14.25" customHeight="1" x14ac:dyDescent="0.2"/>
    <row r="64" spans="2:28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H2" sqref="H2"/>
    </sheetView>
  </sheetViews>
  <sheetFormatPr baseColWidth="10" defaultRowHeight="15" x14ac:dyDescent="0.2"/>
  <cols>
    <col min="3" max="3" width="11.83203125" bestFit="1" customWidth="1"/>
    <col min="4" max="4" width="19.33203125" bestFit="1" customWidth="1"/>
    <col min="6" max="8" width="17.33203125" bestFit="1" customWidth="1"/>
  </cols>
  <sheetData>
    <row r="1" spans="1:8" x14ac:dyDescent="0.2">
      <c r="A1" t="s">
        <v>49</v>
      </c>
      <c r="B1" t="s">
        <v>50</v>
      </c>
      <c r="C1" t="s">
        <v>51</v>
      </c>
      <c r="D1" t="s">
        <v>52</v>
      </c>
    </row>
    <row r="2" spans="1:8" x14ac:dyDescent="0.2">
      <c r="A2" s="14">
        <v>6.7299999999999999E-2</v>
      </c>
      <c r="B2">
        <f>1000/A2</f>
        <v>14858.841010401189</v>
      </c>
      <c r="C2" s="15">
        <v>247029168</v>
      </c>
      <c r="D2" s="12">
        <f>B2*C2</f>
        <v>3670567132243.6851</v>
      </c>
      <c r="F2" s="16">
        <v>3868963000000</v>
      </c>
      <c r="G2" s="16">
        <v>555246000000</v>
      </c>
      <c r="H2" s="13">
        <f>F2+G2</f>
        <v>4424209000000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"/>
  <sheetViews>
    <sheetView workbookViewId="0"/>
  </sheetViews>
  <sheetFormatPr baseColWidth="10" defaultColWidth="12.6640625" defaultRowHeight="15" customHeight="1" x14ac:dyDescent="0.2"/>
  <cols>
    <col min="1" max="1" width="27.83203125" customWidth="1"/>
    <col min="2" max="2" width="25.1640625" customWidth="1"/>
    <col min="3" max="3" width="24.5" customWidth="1"/>
  </cols>
  <sheetData>
    <row r="1" spans="1:4" x14ac:dyDescent="0.2">
      <c r="A1" s="1" t="s">
        <v>53</v>
      </c>
      <c r="B1" s="1" t="s">
        <v>54</v>
      </c>
      <c r="C1" s="1" t="s">
        <v>55</v>
      </c>
      <c r="D1" s="1" t="s">
        <v>55</v>
      </c>
    </row>
    <row r="2" spans="1:4" x14ac:dyDescent="0.2">
      <c r="A2" s="3" t="s">
        <v>56</v>
      </c>
      <c r="B2" s="1" t="s">
        <v>57</v>
      </c>
      <c r="C2" s="1">
        <v>3734</v>
      </c>
      <c r="D2" s="1" t="s">
        <v>58</v>
      </c>
    </row>
    <row r="3" spans="1:4" x14ac:dyDescent="0.2">
      <c r="A3" s="1" t="s">
        <v>59</v>
      </c>
      <c r="B3" s="1" t="s">
        <v>60</v>
      </c>
      <c r="C3" s="1">
        <v>6365</v>
      </c>
      <c r="D3" s="1" t="s">
        <v>58</v>
      </c>
    </row>
    <row r="4" spans="1:4" x14ac:dyDescent="0.2">
      <c r="A4" s="3" t="s">
        <v>61</v>
      </c>
      <c r="B4" s="3" t="s">
        <v>62</v>
      </c>
      <c r="C4" s="3">
        <v>6267</v>
      </c>
      <c r="D4" s="1" t="s">
        <v>58</v>
      </c>
    </row>
    <row r="5" spans="1:4" x14ac:dyDescent="0.2">
      <c r="A5" s="3" t="s">
        <v>63</v>
      </c>
      <c r="B5" s="3" t="s">
        <v>64</v>
      </c>
      <c r="C5" s="3">
        <v>5029</v>
      </c>
      <c r="D5" s="1" t="s">
        <v>58</v>
      </c>
    </row>
    <row r="6" spans="1:4" x14ac:dyDescent="0.2">
      <c r="A6" s="3" t="s">
        <v>65</v>
      </c>
      <c r="B6" s="3" t="s">
        <v>64</v>
      </c>
      <c r="C6" s="3">
        <v>10794</v>
      </c>
      <c r="D6" s="1" t="s">
        <v>58</v>
      </c>
    </row>
    <row r="7" spans="1:4" x14ac:dyDescent="0.2">
      <c r="A7" s="3" t="s">
        <v>66</v>
      </c>
      <c r="B7" s="3" t="s">
        <v>64</v>
      </c>
      <c r="C7" s="3">
        <v>3356</v>
      </c>
      <c r="D7" s="1" t="s">
        <v>58</v>
      </c>
    </row>
    <row r="8" spans="1:4" x14ac:dyDescent="0.2">
      <c r="A8" s="1" t="s">
        <v>67</v>
      </c>
      <c r="B8" s="3" t="s">
        <v>64</v>
      </c>
      <c r="C8" s="3">
        <v>16348</v>
      </c>
      <c r="D8" s="1" t="s">
        <v>58</v>
      </c>
    </row>
    <row r="9" spans="1:4" x14ac:dyDescent="0.2">
      <c r="A9" s="3" t="s">
        <v>68</v>
      </c>
      <c r="B9" s="3" t="s">
        <v>69</v>
      </c>
      <c r="C9" s="3">
        <v>1528</v>
      </c>
      <c r="D9" s="1" t="s">
        <v>58</v>
      </c>
    </row>
    <row r="10" spans="1:4" x14ac:dyDescent="0.2">
      <c r="A10" s="3" t="s">
        <v>70</v>
      </c>
      <c r="B10" s="3" t="s">
        <v>69</v>
      </c>
      <c r="C10" s="3">
        <v>11009</v>
      </c>
      <c r="D10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lokasi kebun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Digitaloffice05679</dc:creator>
  <cp:lastModifiedBy>Muhammad Najmi Rahmani</cp:lastModifiedBy>
  <dcterms:created xsi:type="dcterms:W3CDTF">2025-11-28T07:59:29Z</dcterms:created>
  <dcterms:modified xsi:type="dcterms:W3CDTF">2026-09-15T11:15:53Z</dcterms:modified>
</cp:coreProperties>
</file>