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7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41" fontId="0" fillId="0" borderId="0" pivotButton="0" quotePrefix="0" xfId="1"/>
    <xf numFmtId="41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41" fontId="3" fillId="0" borderId="0" pivotButton="0" quotePrefix="0" xfId="1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tabSelected="1" workbookViewId="0">
      <pane xSplit="1" topLeftCell="B1" activePane="topRight" state="frozen"/>
      <selection pane="topRight" activeCell="B14" sqref="B14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8.33203125" bestFit="1" customWidth="1" min="8" max="8"/>
    <col width="19.5" customWidth="1" min="9" max="9"/>
    <col width="18.33203125" bestFit="1" customWidth="1" min="10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4" t="inlineStr">
        <is>
          <t>DSNG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18" t="n">
        <v>17814315000000</v>
      </c>
      <c r="C4" s="18" t="n">
        <v>17758416000000</v>
      </c>
      <c r="D4" s="18" t="n">
        <v>17617196000000</v>
      </c>
      <c r="E4" s="18" t="n">
        <v>17204328000000</v>
      </c>
      <c r="F4" s="18" t="n">
        <v>17544731000000</v>
      </c>
      <c r="G4" s="18" t="n">
        <v>17635653000000</v>
      </c>
      <c r="H4" s="18" t="n">
        <v>17412416000000</v>
      </c>
      <c r="I4" s="18" t="n">
        <v>17438527000000</v>
      </c>
      <c r="J4" s="18" t="n">
        <v>17228850000000</v>
      </c>
      <c r="K4" s="18" t="n">
        <v>17025829000000</v>
      </c>
      <c r="L4" s="18" t="n">
        <v>16178278000000</v>
      </c>
      <c r="M4" s="18" t="n">
        <v>16003177000000</v>
      </c>
      <c r="N4" s="18" t="n">
        <v>15978245000000</v>
      </c>
      <c r="O4" s="18" t="n">
        <v>15476271000000</v>
      </c>
      <c r="P4" s="18" t="n">
        <v>15357229000000</v>
      </c>
      <c r="Q4" s="18" t="n">
        <v>14650042000000</v>
      </c>
      <c r="R4" s="18" t="n">
        <v>14482908000000</v>
      </c>
      <c r="S4" s="18" t="n">
        <v>14174588000000</v>
      </c>
      <c r="T4" s="5" t="n"/>
      <c r="U4" s="7" t="n"/>
      <c r="V4" s="7" t="n"/>
      <c r="W4" s="7" t="n"/>
      <c r="X4" s="7" t="n"/>
      <c r="Y4" s="7" t="n"/>
      <c r="Z4" s="7" t="n"/>
      <c r="AA4" s="7" t="n"/>
    </row>
    <row r="5" ht="14.25" customHeight="1">
      <c r="A5" s="2" t="inlineStr">
        <is>
          <t>total aset lancar</t>
        </is>
      </c>
      <c r="B5" s="18" t="n">
        <v>3445378000000</v>
      </c>
      <c r="C5" s="18" t="n">
        <v>3300604000000</v>
      </c>
      <c r="D5" s="18" t="n">
        <v>3122905000000</v>
      </c>
      <c r="E5" s="18" t="n">
        <v>2963991000000</v>
      </c>
      <c r="F5" s="18" t="n">
        <v>3363250000000</v>
      </c>
      <c r="G5" s="18" t="n">
        <v>3156585000000</v>
      </c>
      <c r="H5" s="18" t="n">
        <v>2897246000000</v>
      </c>
      <c r="I5" s="18" t="n">
        <v>3128450000000</v>
      </c>
      <c r="J5" s="18" t="n">
        <v>2924824000000</v>
      </c>
      <c r="K5" s="18" t="n">
        <v>2964932000000</v>
      </c>
      <c r="L5" s="18" t="n">
        <v>2949268000000</v>
      </c>
      <c r="M5" s="18" t="n">
        <v>3334658000000</v>
      </c>
      <c r="N5" s="18" t="n">
        <v>3462015000000</v>
      </c>
      <c r="O5" s="18" t="n">
        <v>3141392000000</v>
      </c>
      <c r="P5" s="18" t="n">
        <v>3229582000000</v>
      </c>
      <c r="Q5" s="18" t="n">
        <v>2935322000000</v>
      </c>
      <c r="R5" s="18" t="n">
        <v>2807315000000</v>
      </c>
      <c r="S5" s="18" t="n">
        <v>2614651000000</v>
      </c>
      <c r="T5" s="5" t="n"/>
      <c r="U5" s="7" t="n"/>
      <c r="V5" s="7" t="n"/>
      <c r="W5" s="7" t="n"/>
      <c r="X5" s="7" t="n"/>
      <c r="Y5" s="7" t="n"/>
      <c r="Z5" s="7" t="n"/>
      <c r="AA5" s="7" t="n"/>
    </row>
    <row r="6" ht="14.25" customHeight="1">
      <c r="A6" s="2" t="inlineStr">
        <is>
          <t>KAS</t>
        </is>
      </c>
      <c r="B6" s="18" t="n">
        <v>676925000000</v>
      </c>
      <c r="C6" s="18" t="n">
        <v>635773000000</v>
      </c>
      <c r="D6" s="18" t="n">
        <v>592612000000</v>
      </c>
      <c r="E6" s="18" t="n">
        <v>494120000000</v>
      </c>
      <c r="F6" s="18" t="n">
        <v>892752000000</v>
      </c>
      <c r="G6" s="18" t="n">
        <v>603474000000</v>
      </c>
      <c r="H6" s="18" t="n">
        <v>557023000000</v>
      </c>
      <c r="I6" s="18" t="n">
        <v>408026000000</v>
      </c>
      <c r="J6" s="18" t="n">
        <v>342374000000</v>
      </c>
      <c r="K6" s="18" t="n">
        <v>316576000000</v>
      </c>
      <c r="L6" s="18" t="n">
        <v>389746000000</v>
      </c>
      <c r="M6" s="18" t="n">
        <v>436284000000</v>
      </c>
      <c r="N6" s="18" t="n">
        <v>487393000000</v>
      </c>
      <c r="O6" s="18" t="n">
        <v>331100000000</v>
      </c>
      <c r="P6" s="18" t="n">
        <v>359349000000</v>
      </c>
      <c r="Q6" s="18" t="n">
        <v>345488000000</v>
      </c>
      <c r="R6" s="18" t="n">
        <v>316459000000</v>
      </c>
      <c r="S6" s="18" t="n">
        <v>390390000000</v>
      </c>
      <c r="T6" s="5" t="n"/>
      <c r="U6" s="7" t="n"/>
      <c r="V6" s="7" t="n"/>
      <c r="W6" s="7" t="n"/>
      <c r="X6" s="7" t="n"/>
      <c r="Y6" s="7" t="n"/>
      <c r="Z6" s="7" t="n"/>
      <c r="AA6" s="7" t="n"/>
    </row>
    <row r="7" ht="14.25" customHeight="1">
      <c r="A7" s="2" t="inlineStr">
        <is>
          <t>liabilitas</t>
        </is>
      </c>
      <c r="B7" s="18" t="n">
        <v>5682690000000</v>
      </c>
      <c r="C7" s="18" t="n">
        <v>5694196000000</v>
      </c>
      <c r="D7" s="18" t="n">
        <v>5974326000000</v>
      </c>
      <c r="E7" s="18" t="n">
        <v>6248687000000</v>
      </c>
      <c r="F7" s="18" t="n">
        <v>6987173000000</v>
      </c>
      <c r="G7" s="18" t="n">
        <v>7371380000000</v>
      </c>
      <c r="H7" s="18" t="n">
        <v>7515101000000</v>
      </c>
      <c r="I7" s="18" t="n">
        <v>7875809000000</v>
      </c>
      <c r="J7" s="18" t="n">
        <v>8026264000000</v>
      </c>
      <c r="K7" s="18" t="n">
        <v>7868951000000</v>
      </c>
      <c r="L7" s="18" t="n">
        <v>7288850000000</v>
      </c>
      <c r="M7" s="18" t="n">
        <v>7613109000000</v>
      </c>
      <c r="N7" s="18" t="n">
        <v>7778935000000</v>
      </c>
      <c r="O7" s="18" t="n">
        <v>7101092000000</v>
      </c>
      <c r="P7" s="18" t="n">
        <v>7197089000000</v>
      </c>
      <c r="Q7" s="18" t="n">
        <v>6938939000000</v>
      </c>
      <c r="R7" s="18" t="n">
        <v>7202411000000</v>
      </c>
      <c r="S7" s="18" t="n">
        <v>6940559000000</v>
      </c>
      <c r="T7" s="5" t="n"/>
      <c r="U7" s="7" t="n"/>
      <c r="V7" s="7" t="n"/>
      <c r="W7" s="7" t="n"/>
      <c r="X7" s="7" t="n"/>
      <c r="Y7" s="7" t="n"/>
      <c r="Z7" s="7" t="n"/>
      <c r="AA7" s="7" t="n"/>
    </row>
    <row r="8" ht="14.25" customHeight="1">
      <c r="A8" s="2" t="inlineStr">
        <is>
          <t>Utang Bank SAJA Jangka Pendek + Panjang jatuh tempo</t>
        </is>
      </c>
      <c r="B8" s="18" t="n">
        <v>813998000000</v>
      </c>
      <c r="C8" s="18" t="n">
        <v>848293000000</v>
      </c>
      <c r="D8" s="18" t="n">
        <v>910823000000</v>
      </c>
      <c r="E8" s="18" t="n">
        <v>870299000000</v>
      </c>
      <c r="F8" s="18" t="n">
        <v>720417000000</v>
      </c>
      <c r="G8" s="18" t="n">
        <v>996403000000</v>
      </c>
      <c r="H8" s="18" t="n">
        <v>1074617000000</v>
      </c>
      <c r="I8" s="18" t="n">
        <v>1490361000000</v>
      </c>
      <c r="J8" s="18" t="n">
        <v>1363886000000</v>
      </c>
      <c r="K8" s="18" t="n">
        <v>1875034000000</v>
      </c>
      <c r="L8" s="18" t="n">
        <v>1718782000000</v>
      </c>
      <c r="M8" s="18" t="n">
        <v>1904816000000</v>
      </c>
      <c r="N8" s="18" t="n">
        <v>1496962000000</v>
      </c>
      <c r="O8" s="18" t="n">
        <v>1522164000000</v>
      </c>
      <c r="P8" s="18" t="n">
        <v>1428029000000</v>
      </c>
      <c r="Q8" s="18" t="n">
        <v>1423515000000</v>
      </c>
      <c r="R8" s="18" t="n">
        <v>1524645000000</v>
      </c>
      <c r="S8" s="18" t="n">
        <v>945638000000</v>
      </c>
      <c r="T8" s="5" t="n"/>
      <c r="U8" s="7" t="n"/>
      <c r="V8" s="7" t="n"/>
      <c r="W8" s="7" t="n"/>
      <c r="X8" s="7" t="n"/>
      <c r="Y8" s="7" t="n"/>
      <c r="Z8" s="7" t="n"/>
      <c r="AA8" s="7" t="n"/>
    </row>
    <row r="9" ht="14.25" customHeight="1">
      <c r="A9" s="2" t="inlineStr">
        <is>
          <t>ekuitas</t>
        </is>
      </c>
      <c r="B9" s="18" t="n">
        <v>11984084000000</v>
      </c>
      <c r="C9" s="18" t="n">
        <v>11911229000000</v>
      </c>
      <c r="D9" s="18" t="n">
        <v>11480793000000</v>
      </c>
      <c r="E9" s="18" t="n">
        <v>10786004000000</v>
      </c>
      <c r="F9" s="18" t="n">
        <v>10384861000000</v>
      </c>
      <c r="G9" s="18" t="n">
        <v>10091643000000</v>
      </c>
      <c r="H9" s="18" t="n">
        <v>9723485000000</v>
      </c>
      <c r="I9" s="18" t="n">
        <v>9381410000000</v>
      </c>
      <c r="J9" s="18" t="n">
        <v>9024436000000</v>
      </c>
      <c r="K9" s="18" t="n">
        <v>8980128000000</v>
      </c>
      <c r="L9" s="18" t="n">
        <v>8715909000000</v>
      </c>
      <c r="M9" s="18" t="n">
        <v>8218116000000</v>
      </c>
      <c r="N9" s="18" t="n">
        <v>8075059000000</v>
      </c>
      <c r="O9" s="18" t="n">
        <v>8248191000000</v>
      </c>
      <c r="P9" s="18" t="n">
        <v>8034426000000</v>
      </c>
      <c r="Q9" s="18" t="n">
        <v>7581452000000</v>
      </c>
      <c r="R9" s="18" t="n">
        <v>7151078000000</v>
      </c>
      <c r="S9" s="18" t="n">
        <v>7105006000000</v>
      </c>
      <c r="T9" s="5" t="n"/>
      <c r="U9" s="7" t="n"/>
      <c r="V9" s="7" t="n"/>
      <c r="W9" s="7" t="n"/>
      <c r="X9" s="7" t="n"/>
      <c r="Y9" s="7" t="n"/>
      <c r="Z9" s="7" t="n"/>
      <c r="AA9" s="7" t="n"/>
    </row>
    <row r="10" ht="14.25" customHeight="1">
      <c r="A10" s="2" t="inlineStr">
        <is>
          <t>laba bersih</t>
        </is>
      </c>
      <c r="B10" s="18" t="n">
        <v>1001484000000</v>
      </c>
      <c r="C10" s="18" t="n">
        <v>430436000000</v>
      </c>
      <c r="D10" s="18" t="n">
        <v>1840490000000</v>
      </c>
      <c r="E10" s="18" t="n">
        <v>1316915000000</v>
      </c>
      <c r="F10" s="18" t="n">
        <v>915772000000</v>
      </c>
      <c r="G10" s="18" t="n">
        <v>368158000000</v>
      </c>
      <c r="H10" s="18" t="n">
        <v>1142493000000</v>
      </c>
      <c r="I10" s="18" t="n">
        <v>860541000000</v>
      </c>
      <c r="J10" s="18" t="n">
        <v>503567000000</v>
      </c>
      <c r="K10" s="18" t="n">
        <v>226062000000</v>
      </c>
      <c r="L10" s="18" t="n">
        <v>839809000000</v>
      </c>
      <c r="M10" s="18" t="n">
        <v>502625000000</v>
      </c>
      <c r="N10" s="18" t="n">
        <v>361657000000</v>
      </c>
      <c r="O10" s="18" t="n">
        <v>213765000000</v>
      </c>
      <c r="P10" s="18" t="n">
        <v>1206835000000</v>
      </c>
      <c r="Q10" s="18" t="n">
        <v>893112000000</v>
      </c>
      <c r="R10" s="18" t="n">
        <v>462738000000</v>
      </c>
      <c r="S10" s="18" t="n">
        <v>204669000000</v>
      </c>
      <c r="T10" s="5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>
      <c r="A11" s="6" t="inlineStr">
        <is>
          <t>pendapatan dari kontrak dengan pelanggan</t>
        </is>
      </c>
      <c r="B11" s="18" t="n">
        <v>6290241000000</v>
      </c>
      <c r="C11" s="18" t="n">
        <v>2886350000000</v>
      </c>
      <c r="D11" s="18" t="n">
        <v>12314712000000</v>
      </c>
      <c r="E11" s="18" t="n">
        <v>8944918000000</v>
      </c>
      <c r="F11" s="18" t="n">
        <v>6080855000000</v>
      </c>
      <c r="G11" s="18" t="n">
        <v>2678809000000</v>
      </c>
      <c r="H11" s="18" t="n">
        <v>10119220000000</v>
      </c>
      <c r="I11" s="18" t="n">
        <v>7171925000000</v>
      </c>
      <c r="J11" s="18" t="n">
        <v>4703274000000</v>
      </c>
      <c r="K11" s="18" t="n">
        <v>2230464000000</v>
      </c>
      <c r="L11" s="18" t="n">
        <v>9498749000000</v>
      </c>
      <c r="M11" s="18" t="n">
        <v>6564144000000</v>
      </c>
      <c r="N11" s="18" t="n">
        <v>4357554000000</v>
      </c>
      <c r="O11" s="18" t="n">
        <v>2066374000000</v>
      </c>
      <c r="P11" s="18" t="n">
        <v>9633671000000</v>
      </c>
      <c r="Q11" s="18" t="n">
        <v>6585788000000</v>
      </c>
      <c r="R11" s="18" t="n">
        <v>3787173000000</v>
      </c>
      <c r="S11" s="18" t="n">
        <v>1644637000000</v>
      </c>
      <c r="T11" s="5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>
      <c r="A12" s="2" t="inlineStr">
        <is>
          <t>kas dari aktivitas operasi</t>
        </is>
      </c>
      <c r="B12" s="18" t="n">
        <v>1150798000000</v>
      </c>
      <c r="C12" s="18" t="n">
        <v>513805000000</v>
      </c>
      <c r="D12" s="18" t="n">
        <v>2751835000000</v>
      </c>
      <c r="E12" s="18" t="n">
        <v>2042796000000</v>
      </c>
      <c r="F12" s="18" t="n">
        <v>1312798000000</v>
      </c>
      <c r="G12" s="18" t="n">
        <v>502028000000</v>
      </c>
      <c r="H12" s="18" t="n">
        <v>2150615000000</v>
      </c>
      <c r="I12" s="18" t="n">
        <v>1173896000000</v>
      </c>
      <c r="J12" s="18" t="n">
        <v>1017122000000</v>
      </c>
      <c r="K12" s="18" t="n">
        <v>371247000000</v>
      </c>
      <c r="L12" s="18" t="n">
        <v>1874372000000</v>
      </c>
      <c r="M12" s="18" t="n">
        <v>1026197000000</v>
      </c>
      <c r="N12" s="18" t="n">
        <v>648280000000</v>
      </c>
      <c r="O12" s="18" t="n">
        <v>432511000000</v>
      </c>
      <c r="P12" s="18" t="n">
        <v>1538027000000</v>
      </c>
      <c r="Q12" s="18" t="n">
        <v>1044271000000</v>
      </c>
      <c r="R12" s="18" t="n">
        <v>367256000000</v>
      </c>
      <c r="S12" s="18" t="n">
        <v>340098000000</v>
      </c>
      <c r="T12" s="5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>
      <c r="A13" s="2" t="inlineStr">
        <is>
          <t>total share</t>
        </is>
      </c>
      <c r="B13" s="18" t="n">
        <v>10599842400</v>
      </c>
      <c r="C13" s="18" t="n">
        <v>10599842400</v>
      </c>
      <c r="D13" s="18" t="n">
        <v>10599842400</v>
      </c>
      <c r="E13" s="18" t="n">
        <v>10599842400</v>
      </c>
      <c r="F13" s="18" t="n">
        <v>10599842400</v>
      </c>
      <c r="G13" s="18" t="n">
        <v>10599842400</v>
      </c>
      <c r="H13" s="18" t="n">
        <v>10599842400</v>
      </c>
      <c r="I13" s="18" t="n">
        <v>10599842400</v>
      </c>
      <c r="J13" s="18" t="n">
        <v>10599842400</v>
      </c>
      <c r="K13" s="18" t="n">
        <v>10599842400</v>
      </c>
      <c r="L13" s="18" t="n">
        <v>10599842400</v>
      </c>
      <c r="M13" s="18" t="n">
        <v>10599842400</v>
      </c>
      <c r="N13" s="18" t="n">
        <v>10599842400</v>
      </c>
      <c r="O13" s="18" t="n">
        <v>10599842400</v>
      </c>
      <c r="P13" s="18" t="n">
        <v>10599842400</v>
      </c>
      <c r="Q13" s="18" t="n">
        <v>10599842400</v>
      </c>
      <c r="R13" s="18" t="n">
        <v>10599842400</v>
      </c>
      <c r="S13" s="18" t="n">
        <v>10599842400</v>
      </c>
      <c r="T13" s="5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>
      <c r="A14" s="2" t="inlineStr">
        <is>
          <t>Harga saham rupiah</t>
        </is>
      </c>
      <c r="B14" s="4" t="n">
        <v>1360</v>
      </c>
      <c r="C14" s="4" t="n">
        <v>1130</v>
      </c>
      <c r="D14" s="4" t="n">
        <v>1500</v>
      </c>
      <c r="E14" s="4" t="n">
        <v>1605</v>
      </c>
      <c r="F14" s="4" t="n">
        <v>1490</v>
      </c>
      <c r="G14" s="4" t="n">
        <v>800</v>
      </c>
      <c r="H14" s="5" t="n">
        <v>785</v>
      </c>
      <c r="I14" s="5" t="n">
        <v>1195</v>
      </c>
      <c r="J14" s="5" t="n">
        <v>780</v>
      </c>
      <c r="K14" s="5" t="n">
        <v>650</v>
      </c>
      <c r="L14" s="5" t="n">
        <v>655</v>
      </c>
      <c r="M14" s="5" t="n">
        <v>545</v>
      </c>
      <c r="N14" s="5" t="n">
        <v>585</v>
      </c>
      <c r="O14" s="5" t="n">
        <v>555</v>
      </c>
      <c r="P14" s="5" t="n">
        <v>595</v>
      </c>
      <c r="Q14" s="5" t="n">
        <v>590</v>
      </c>
      <c r="R14" s="5" t="n">
        <v>530</v>
      </c>
      <c r="S14" s="5" t="n">
        <v>490</v>
      </c>
      <c r="T14" s="5" t="n">
        <v>550</v>
      </c>
      <c r="U14" s="7" t="n">
        <v>580</v>
      </c>
      <c r="V14" s="7" t="n">
        <v>540</v>
      </c>
      <c r="W14" s="4" t="n">
        <v>450</v>
      </c>
      <c r="X14" s="7" t="n">
        <v>565</v>
      </c>
      <c r="Y14" s="7" t="n">
        <v>510</v>
      </c>
      <c r="Z14" s="7" t="n">
        <v>428</v>
      </c>
      <c r="AA14" s="7" t="n">
        <v>358</v>
      </c>
    </row>
    <row r="15" ht="14.25" customHeight="1">
      <c r="A15" s="8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E9/E13</f>
        <v/>
      </c>
      <c r="F15" s="6">
        <f>F9/F13</f>
        <v/>
      </c>
      <c r="G15" s="6">
        <f>G9/G13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9">
        <f>X9/X13</f>
        <v/>
      </c>
      <c r="Y15" s="9">
        <f>Y9/Y13</f>
        <v/>
      </c>
      <c r="Z15" s="9">
        <f>Z9/Z13</f>
        <v/>
      </c>
      <c r="AA15" s="9">
        <f>AA9/AA13</f>
        <v/>
      </c>
    </row>
    <row r="16" ht="14.25" customHeight="1">
      <c r="A16" s="8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9">
        <f>X5-X7</f>
        <v/>
      </c>
      <c r="Y16" s="9">
        <f>Y5-Y7</f>
        <v/>
      </c>
      <c r="Z16" s="9">
        <f>Z5-Z7</f>
        <v/>
      </c>
      <c r="AA16" s="9">
        <f>AA5-AA7</f>
        <v/>
      </c>
    </row>
    <row r="17" ht="14.25" customHeight="1">
      <c r="A17" s="8" t="inlineStr">
        <is>
          <t>ROA</t>
        </is>
      </c>
      <c r="B17" s="10">
        <f>B10/B4</f>
        <v/>
      </c>
      <c r="C17" s="10">
        <f>C10/C4</f>
        <v/>
      </c>
      <c r="D17" s="10">
        <f>D10/D4</f>
        <v/>
      </c>
      <c r="E17" s="10">
        <f>E10/E4</f>
        <v/>
      </c>
      <c r="F17" s="10">
        <f>F10/F4</f>
        <v/>
      </c>
      <c r="G17" s="10">
        <f>G10/G4</f>
        <v/>
      </c>
      <c r="H17" s="10">
        <f>H10/H4</f>
        <v/>
      </c>
      <c r="I17" s="10">
        <f>I10/I4</f>
        <v/>
      </c>
      <c r="J17" s="10">
        <f>J10/J4</f>
        <v/>
      </c>
      <c r="K17" s="10">
        <f>K10/K4</f>
        <v/>
      </c>
      <c r="L17" s="10">
        <f>L10/L4</f>
        <v/>
      </c>
      <c r="M17" s="10">
        <f>M10/M4</f>
        <v/>
      </c>
      <c r="N17" s="10">
        <f>N10/N4</f>
        <v/>
      </c>
      <c r="O17" s="10">
        <f>O10/O4</f>
        <v/>
      </c>
      <c r="P17" s="10">
        <f>P10/P4</f>
        <v/>
      </c>
      <c r="Q17" s="10">
        <f>Q10/Q4</f>
        <v/>
      </c>
      <c r="R17" s="10">
        <f>R10/R4</f>
        <v/>
      </c>
      <c r="S17" s="10">
        <f>S10/S4</f>
        <v/>
      </c>
      <c r="T17" s="10">
        <f>T10/T4</f>
        <v/>
      </c>
      <c r="U17" s="10">
        <f>U10/U4</f>
        <v/>
      </c>
      <c r="V17" s="10">
        <f>V10/V4</f>
        <v/>
      </c>
      <c r="W17" s="10">
        <f>W10/W4</f>
        <v/>
      </c>
      <c r="X17" s="10">
        <f>X10/X4</f>
        <v/>
      </c>
      <c r="Y17" s="10">
        <f>Y10/Y4</f>
        <v/>
      </c>
      <c r="Z17" s="10">
        <f>Z10/Z4</f>
        <v/>
      </c>
      <c r="AA17" s="10">
        <f>AA10/AA4</f>
        <v/>
      </c>
    </row>
    <row r="18" ht="14.25" customHeight="1">
      <c r="A18" s="8" t="inlineStr">
        <is>
          <t>ROE</t>
        </is>
      </c>
      <c r="B18" s="10">
        <f>B10/B9</f>
        <v/>
      </c>
      <c r="C18" s="10">
        <f>C10/C9</f>
        <v/>
      </c>
      <c r="D18" s="10">
        <f>D10/D9</f>
        <v/>
      </c>
      <c r="E18" s="10">
        <f>E10/E9</f>
        <v/>
      </c>
      <c r="F18" s="10">
        <f>F10/F9</f>
        <v/>
      </c>
      <c r="G18" s="10">
        <f>G10/G9</f>
        <v/>
      </c>
      <c r="H18" s="10">
        <f>H10/H9</f>
        <v/>
      </c>
      <c r="I18" s="10">
        <f>I10/I9</f>
        <v/>
      </c>
      <c r="J18" s="10">
        <f>J10/J9</f>
        <v/>
      </c>
      <c r="K18" s="10">
        <f>K10/K9</f>
        <v/>
      </c>
      <c r="L18" s="10">
        <f>L10/L9</f>
        <v/>
      </c>
      <c r="M18" s="10">
        <f>M10/M9</f>
        <v/>
      </c>
      <c r="N18" s="10">
        <f>N10/N9</f>
        <v/>
      </c>
      <c r="O18" s="10">
        <f>O10/O9</f>
        <v/>
      </c>
      <c r="P18" s="10">
        <f>P10/P9</f>
        <v/>
      </c>
      <c r="Q18" s="10">
        <f>Q10/Q9</f>
        <v/>
      </c>
      <c r="R18" s="10">
        <f>R10/R9</f>
        <v/>
      </c>
      <c r="S18" s="10">
        <f>S10/S9</f>
        <v/>
      </c>
      <c r="T18" s="10">
        <f>T10/T9</f>
        <v/>
      </c>
      <c r="U18" s="10">
        <f>U10/U9</f>
        <v/>
      </c>
      <c r="V18" s="10">
        <f>V10/V9</f>
        <v/>
      </c>
      <c r="W18" s="10">
        <f>W10/W9</f>
        <v/>
      </c>
      <c r="X18" s="10">
        <f>X10/X9</f>
        <v/>
      </c>
      <c r="Y18" s="10">
        <f>Y10/Y9</f>
        <v/>
      </c>
      <c r="Z18" s="10">
        <f>Z10/Z9</f>
        <v/>
      </c>
      <c r="AA18" s="10">
        <f>AA10/AA9</f>
        <v/>
      </c>
    </row>
    <row r="19" ht="14.25" customHeight="1">
      <c r="A19" s="8" t="inlineStr">
        <is>
          <t>PBV</t>
        </is>
      </c>
      <c r="B19" s="11">
        <f>B14/B15</f>
        <v/>
      </c>
      <c r="C19" s="11">
        <f>C14/C15</f>
        <v/>
      </c>
      <c r="D19" s="11">
        <f>D14/D15</f>
        <v/>
      </c>
      <c r="E19" s="11">
        <f>E14/E15</f>
        <v/>
      </c>
      <c r="F19" s="11">
        <f>F14/F15</f>
        <v/>
      </c>
      <c r="G19" s="11">
        <f>G14/G15</f>
        <v/>
      </c>
      <c r="H19" s="11">
        <f>H14/H15</f>
        <v/>
      </c>
      <c r="I19" s="11">
        <f>I14/I15</f>
        <v/>
      </c>
      <c r="J19" s="11">
        <f>J14/J15</f>
        <v/>
      </c>
      <c r="K19" s="11">
        <f>K14/K15</f>
        <v/>
      </c>
      <c r="L19" s="11">
        <f>L14/L15</f>
        <v/>
      </c>
      <c r="M19" s="11">
        <f>M14/M15</f>
        <v/>
      </c>
      <c r="N19" s="11">
        <f>N14/N15</f>
        <v/>
      </c>
      <c r="O19" s="11">
        <f>O14/O15</f>
        <v/>
      </c>
      <c r="P19" s="11">
        <f>P14/P15</f>
        <v/>
      </c>
      <c r="Q19" s="11">
        <f>Q14/Q15</f>
        <v/>
      </c>
      <c r="R19" s="11">
        <f>R14/R15</f>
        <v/>
      </c>
      <c r="S19" s="11">
        <f>S14/S15</f>
        <v/>
      </c>
      <c r="T19" s="11">
        <f>T14/T15</f>
        <v/>
      </c>
      <c r="U19" s="11">
        <f>U14/U15</f>
        <v/>
      </c>
      <c r="V19" s="11">
        <f>V14/V15</f>
        <v/>
      </c>
      <c r="W19" s="11">
        <f>W14/W15</f>
        <v/>
      </c>
      <c r="X19" s="9">
        <f>X14/X15</f>
        <v/>
      </c>
      <c r="Y19" s="9">
        <f>Y14/Y15</f>
        <v/>
      </c>
      <c r="Z19" s="9">
        <f>Z14/Z15</f>
        <v/>
      </c>
      <c r="AA19" s="9">
        <f>AA14/AA15</f>
        <v/>
      </c>
    </row>
    <row r="20" ht="14.25" customHeight="1">
      <c r="A20" s="8" t="inlineStr">
        <is>
          <t>PE</t>
        </is>
      </c>
      <c r="B20" s="11">
        <f>B14/B21</f>
        <v/>
      </c>
      <c r="C20" s="11">
        <f>C14/C21</f>
        <v/>
      </c>
      <c r="D20" s="11">
        <f>D14/D21</f>
        <v/>
      </c>
      <c r="E20" s="11">
        <f>E14/E21</f>
        <v/>
      </c>
      <c r="F20" s="11">
        <f>F14/F21</f>
        <v/>
      </c>
      <c r="G20" s="11">
        <f>G14/G21</f>
        <v/>
      </c>
      <c r="H20" s="11">
        <f>H14/H21</f>
        <v/>
      </c>
      <c r="I20" s="11">
        <f>I14/I21</f>
        <v/>
      </c>
      <c r="J20" s="11">
        <f>J14/J21</f>
        <v/>
      </c>
      <c r="K20" s="11">
        <f>K14/K21</f>
        <v/>
      </c>
      <c r="L20" s="11">
        <f>L14/L21</f>
        <v/>
      </c>
      <c r="M20" s="11">
        <f>M14/M21</f>
        <v/>
      </c>
      <c r="N20" s="11">
        <f>N14/N21</f>
        <v/>
      </c>
      <c r="O20" s="11">
        <f>O14/O21</f>
        <v/>
      </c>
      <c r="P20" s="11">
        <f>P14/P21</f>
        <v/>
      </c>
      <c r="Q20" s="11">
        <f>Q14/Q21</f>
        <v/>
      </c>
      <c r="R20" s="11">
        <f>R14/R21</f>
        <v/>
      </c>
      <c r="S20" s="11">
        <f>S14/S21</f>
        <v/>
      </c>
      <c r="T20" s="11">
        <f>T14/T21</f>
        <v/>
      </c>
      <c r="U20" s="11">
        <f>U14/U21</f>
        <v/>
      </c>
      <c r="V20" s="11">
        <f>V14/V21</f>
        <v/>
      </c>
      <c r="W20" s="11">
        <f>W14/W21</f>
        <v/>
      </c>
      <c r="X20" s="9">
        <f>X14/X21</f>
        <v/>
      </c>
      <c r="Y20" s="9">
        <f>Y14/Y21</f>
        <v/>
      </c>
      <c r="Z20" s="9">
        <f>Z14/Z21</f>
        <v/>
      </c>
      <c r="AA20" s="9">
        <f>AA14/AA21</f>
        <v/>
      </c>
    </row>
    <row r="21" ht="14.25" customHeight="1">
      <c r="A21" s="8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E10/E13</f>
        <v/>
      </c>
      <c r="F21" s="6">
        <f>F10/F13</f>
        <v/>
      </c>
      <c r="G21" s="6">
        <f>G10/G13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9">
        <f>X10/X13</f>
        <v/>
      </c>
      <c r="Y21" s="9">
        <f>Y10/Y13</f>
        <v/>
      </c>
      <c r="Z21" s="9">
        <f>Z10/Z13</f>
        <v/>
      </c>
      <c r="AA21" s="9">
        <f>AA10/AA13</f>
        <v/>
      </c>
    </row>
    <row r="22" ht="14.25" customHeight="1">
      <c r="A22" s="8" t="inlineStr">
        <is>
          <t>DER</t>
        </is>
      </c>
      <c r="B22" s="10">
        <f>B7/B9</f>
        <v/>
      </c>
      <c r="C22" s="10">
        <f>C7/C9</f>
        <v/>
      </c>
      <c r="D22" s="10">
        <f>D7/D9</f>
        <v/>
      </c>
      <c r="E22" s="10">
        <f>E7/E9</f>
        <v/>
      </c>
      <c r="F22" s="10">
        <f>F7/F9</f>
        <v/>
      </c>
      <c r="G22" s="10">
        <f>G7/G9</f>
        <v/>
      </c>
      <c r="H22" s="10">
        <f>H7/H9</f>
        <v/>
      </c>
      <c r="I22" s="10">
        <f>I7/I9</f>
        <v/>
      </c>
      <c r="J22" s="10">
        <f>J7/J9</f>
        <v/>
      </c>
      <c r="K22" s="10">
        <f>K7/K9</f>
        <v/>
      </c>
      <c r="L22" s="10">
        <f>L7/L9</f>
        <v/>
      </c>
      <c r="M22" s="10">
        <f>M7/M9</f>
        <v/>
      </c>
      <c r="N22" s="10">
        <f>N7/N9</f>
        <v/>
      </c>
      <c r="O22" s="10">
        <f>O7/O9</f>
        <v/>
      </c>
      <c r="P22" s="10">
        <f>P7/P9</f>
        <v/>
      </c>
      <c r="Q22" s="10">
        <f>Q7/Q9</f>
        <v/>
      </c>
      <c r="R22" s="10">
        <f>R7/R9</f>
        <v/>
      </c>
      <c r="S22" s="10">
        <f>S7/S9</f>
        <v/>
      </c>
      <c r="T22" s="10">
        <f>T7/T9</f>
        <v/>
      </c>
      <c r="U22" s="10">
        <f>U7/U9</f>
        <v/>
      </c>
      <c r="V22" s="10">
        <f>V7/V9</f>
        <v/>
      </c>
      <c r="W22" s="10">
        <f>W7/W9</f>
        <v/>
      </c>
      <c r="X22" s="10">
        <f>X7/X9</f>
        <v/>
      </c>
      <c r="Y22" s="10">
        <f>Y7/Y9</f>
        <v/>
      </c>
      <c r="Z22" s="10">
        <f>Z7/Z9</f>
        <v/>
      </c>
      <c r="AA22" s="10">
        <f>AA7/AA9</f>
        <v/>
      </c>
    </row>
    <row r="23" ht="14.25" customHeight="1"/>
    <row r="24" ht="14.25" customHeight="1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 ht="14.25" customHeight="1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 ht="14.25" customHeight="1"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 ht="14.25" customHeight="1"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 ht="14.25" customHeigh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 ht="14.25" customHeight="1"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 ht="14.25" customHeight="1"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 ht="14.25" customHeight="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 ht="14.25" customHeight="1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 ht="14.25" customHeight="1"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 ht="14.25" customHeight="1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 ht="14.25" customHeight="1"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14.25" customHeight="1"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 ht="14.25" customHeight="1"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 ht="14.25" customHeight="1"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 ht="14.25" customHeight="1"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 ht="14.25" customHeight="1"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 ht="14.25" customHeight="1"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 ht="14.25" customHeight="1"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4.25" customHeight="1"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</row>
    <row r="44" ht="14.25" customHeight="1"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</row>
    <row r="45" ht="14.25" customHeight="1"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</row>
    <row r="46" ht="14.25" customHeight="1"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</row>
    <row r="47" ht="14.25" customHeight="1"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</row>
    <row r="48" ht="14.25" customHeight="1"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</row>
    <row r="49" ht="14.25" customHeight="1"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</row>
    <row r="50" ht="14.25" customHeight="1"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</row>
    <row r="51" ht="14.25" customHeight="1"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</row>
    <row r="52" ht="14.25" customHeight="1"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</row>
    <row r="53" ht="14.25" customHeight="1"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 ht="14.25" customHeight="1"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4" t="n">
        <v>0.0673</v>
      </c>
      <c r="B2">
        <f>1000/A2</f>
        <v/>
      </c>
      <c r="C2" s="15" t="n">
        <v>247029168</v>
      </c>
      <c r="D2" s="12">
        <f>B2*C2</f>
        <v/>
      </c>
      <c r="F2" s="16" t="n">
        <v>3868963000000</v>
      </c>
      <c r="G2" s="16" t="n">
        <v>555246000000</v>
      </c>
      <c r="H2" s="13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2026-09-15T11:07:52Z</dcterms:modified>
  <cp:lastModifiedBy>Muhammad Najmi Rahmani</cp:lastModifiedBy>
</cp:coreProperties>
</file>