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uhammadnajmirahmani/Belajar/ProjectDatasaur/data/ground_truth/"/>
    </mc:Choice>
  </mc:AlternateContent>
  <xr:revisionPtr revIDLastSave="0" documentId="13_ncr:1_{B41042FF-627C-C442-A8A0-AD3AC316938D}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Sheet1" sheetId="1" r:id="rId1"/>
    <sheet name="lokasi kebu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" l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A21" i="1"/>
  <c r="AA20" i="1" s="1"/>
  <c r="Z21" i="1"/>
  <c r="Z20" i="1" s="1"/>
  <c r="Y21" i="1"/>
  <c r="Y20" i="1" s="1"/>
  <c r="X21" i="1"/>
  <c r="W21" i="1"/>
  <c r="V21" i="1"/>
  <c r="U21" i="1"/>
  <c r="T21" i="1"/>
  <c r="T20" i="1" s="1"/>
  <c r="S21" i="1"/>
  <c r="S20" i="1" s="1"/>
  <c r="R21" i="1"/>
  <c r="R20" i="1" s="1"/>
  <c r="Q21" i="1"/>
  <c r="Q20" i="1" s="1"/>
  <c r="P21" i="1"/>
  <c r="P20" i="1" s="1"/>
  <c r="O21" i="1"/>
  <c r="O20" i="1" s="1"/>
  <c r="N21" i="1"/>
  <c r="M21" i="1"/>
  <c r="L21" i="1"/>
  <c r="K21" i="1"/>
  <c r="J21" i="1"/>
  <c r="J20" i="1" s="1"/>
  <c r="I21" i="1"/>
  <c r="I20" i="1" s="1"/>
  <c r="H21" i="1"/>
  <c r="H20" i="1" s="1"/>
  <c r="G21" i="1"/>
  <c r="G20" i="1" s="1"/>
  <c r="F21" i="1"/>
  <c r="F20" i="1" s="1"/>
  <c r="E21" i="1"/>
  <c r="E20" i="1" s="1"/>
  <c r="D21" i="1"/>
  <c r="C21" i="1"/>
  <c r="B21" i="1"/>
  <c r="X20" i="1"/>
  <c r="W20" i="1"/>
  <c r="V20" i="1"/>
  <c r="U20" i="1"/>
  <c r="N20" i="1"/>
  <c r="M20" i="1"/>
  <c r="L20" i="1"/>
  <c r="K20" i="1"/>
  <c r="D20" i="1"/>
  <c r="C20" i="1"/>
  <c r="B20" i="1"/>
  <c r="AA19" i="1"/>
  <c r="T19" i="1"/>
  <c r="S19" i="1"/>
  <c r="R19" i="1"/>
  <c r="Q19" i="1"/>
  <c r="J19" i="1"/>
  <c r="I19" i="1"/>
  <c r="H19" i="1"/>
  <c r="G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Z15" i="1"/>
  <c r="Z19" i="1" s="1"/>
  <c r="Y15" i="1"/>
  <c r="Y19" i="1" s="1"/>
  <c r="X15" i="1"/>
  <c r="X19" i="1" s="1"/>
  <c r="W15" i="1"/>
  <c r="W19" i="1" s="1"/>
  <c r="V15" i="1"/>
  <c r="V19" i="1" s="1"/>
  <c r="U15" i="1"/>
  <c r="U19" i="1" s="1"/>
  <c r="T15" i="1"/>
  <c r="S15" i="1"/>
  <c r="R15" i="1"/>
  <c r="Q15" i="1"/>
  <c r="P15" i="1"/>
  <c r="P19" i="1" s="1"/>
  <c r="O15" i="1"/>
  <c r="O19" i="1" s="1"/>
  <c r="N15" i="1"/>
  <c r="N19" i="1" s="1"/>
  <c r="M15" i="1"/>
  <c r="M19" i="1" s="1"/>
  <c r="L15" i="1"/>
  <c r="L19" i="1" s="1"/>
  <c r="K15" i="1"/>
  <c r="K19" i="1" s="1"/>
  <c r="J15" i="1"/>
  <c r="I15" i="1"/>
  <c r="H15" i="1"/>
  <c r="G15" i="1"/>
  <c r="F15" i="1"/>
  <c r="F19" i="1" s="1"/>
  <c r="E15" i="1"/>
  <c r="E19" i="1" s="1"/>
  <c r="D15" i="1"/>
  <c r="D19" i="1" s="1"/>
  <c r="C15" i="1"/>
  <c r="C19" i="1" s="1"/>
  <c r="B15" i="1"/>
  <c r="B19" i="1" s="1"/>
</calcChain>
</file>

<file path=xl/sharedStrings.xml><?xml version="1.0" encoding="utf-8"?>
<sst xmlns="http://schemas.openxmlformats.org/spreadsheetml/2006/main" count="80" uniqueCount="67">
  <si>
    <t>(HANYA YANG BISA DIATRIBUSIKAN KE ENTITAS INDUK SAJA)</t>
  </si>
  <si>
    <t>TLDN</t>
  </si>
  <si>
    <t>DINYATAKAN DALAM RUPIAH</t>
  </si>
  <si>
    <t>kecuali nilai nominal dan data saham</t>
  </si>
  <si>
    <t>Q2 2026</t>
  </si>
  <si>
    <t>Q1 2026</t>
  </si>
  <si>
    <t>Q4 2025</t>
  </si>
  <si>
    <t>Q3 2025</t>
  </si>
  <si>
    <t>Q2 2025</t>
  </si>
  <si>
    <t>Q1 2025</t>
  </si>
  <si>
    <t>TAHUNAN 2024</t>
  </si>
  <si>
    <t>Q3 2024</t>
  </si>
  <si>
    <t>Q2 2024</t>
  </si>
  <si>
    <t>Q1 2024</t>
  </si>
  <si>
    <t>TAHUNAN 2023</t>
  </si>
  <si>
    <t>Q3 2023</t>
  </si>
  <si>
    <t>Q2 2023</t>
  </si>
  <si>
    <t>Q1 2023</t>
  </si>
  <si>
    <t>TAHUNAN 2022</t>
  </si>
  <si>
    <t>Q3 2022</t>
  </si>
  <si>
    <t>Q2 2022</t>
  </si>
  <si>
    <t>Q1 2022</t>
  </si>
  <si>
    <t>TAHUNAN 2021</t>
  </si>
  <si>
    <t>Q3 2021</t>
  </si>
  <si>
    <t>Q2 2021</t>
  </si>
  <si>
    <t>Q1 2021</t>
  </si>
  <si>
    <t>TAHUNAN 2020</t>
  </si>
  <si>
    <t>Q3 2020</t>
  </si>
  <si>
    <t>Q2 2020</t>
  </si>
  <si>
    <t>Q1 2020</t>
  </si>
  <si>
    <t>Aset</t>
  </si>
  <si>
    <t>total aset lancar</t>
  </si>
  <si>
    <t>KAS</t>
  </si>
  <si>
    <t>liabilitas</t>
  </si>
  <si>
    <t>Utang Bank SAJA Jangka Pendek + Panjang jatuh tempo</t>
  </si>
  <si>
    <t>ekuitas</t>
  </si>
  <si>
    <t>laba bersih</t>
  </si>
  <si>
    <t>pendapatan dari kontrak dengan pelanggan</t>
  </si>
  <si>
    <t>kas dari aktivitas operasi</t>
  </si>
  <si>
    <t>total share</t>
  </si>
  <si>
    <t>Harga saham rupiah</t>
  </si>
  <si>
    <t>Book Value per share</t>
  </si>
  <si>
    <t>P1</t>
  </si>
  <si>
    <t>ROA</t>
  </si>
  <si>
    <t>ROE</t>
  </si>
  <si>
    <t>PBV</t>
  </si>
  <si>
    <t>PE</t>
  </si>
  <si>
    <t>EPS</t>
  </si>
  <si>
    <t>DER</t>
  </si>
  <si>
    <t>Perusahaan</t>
  </si>
  <si>
    <t xml:space="preserve">Lokasi </t>
  </si>
  <si>
    <t>Luasan</t>
  </si>
  <si>
    <t>PT Cipta Davia Mandiri</t>
  </si>
  <si>
    <t xml:space="preserve">Kutai Timur, Kaltim </t>
  </si>
  <si>
    <t>Hektar</t>
  </si>
  <si>
    <t>PT Cahaya Anugrah Plantation</t>
  </si>
  <si>
    <t>Kutai Kartanegara, Kaltim</t>
  </si>
  <si>
    <t>Multi Jayantara Abadi</t>
  </si>
  <si>
    <t>Paser, Kaltim</t>
  </si>
  <si>
    <t>Gemilang Sejahtera Abadi</t>
  </si>
  <si>
    <t>Kutai Timur, Kaltim</t>
  </si>
  <si>
    <t>Telen Prima Sawit</t>
  </si>
  <si>
    <t>Sawit Prima Nusantara</t>
  </si>
  <si>
    <t xml:space="preserve"> Telen</t>
  </si>
  <si>
    <t>Inti Energi Kaltim</t>
  </si>
  <si>
    <t>Berau, Kaltim</t>
  </si>
  <si>
    <t>Tanjung Buyu Perkasa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</si>
</sst>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_ "/>
  </numFmts>
  <fonts count="5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Aptos Narrow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0" fontId="4" fillId="0" borderId="0" xfId="0" applyFont="1"/>
    <xf numFmtId="41" fontId="4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1" topLeftCell="B1" activePane="topRight" state="frozen"/>
      <selection pane="topRight" activeCell="D27" sqref="D27"/>
    </sheetView>
  </sheetViews>
  <sheetFormatPr baseColWidth="10" defaultColWidth="12.6640625" defaultRowHeight="15" customHeight="1" x14ac:dyDescent="0.2"/>
  <cols>
    <col min="1" max="1" width="59.6640625" customWidth="1"/>
    <col min="2" max="2" width="20.5" customWidth="1"/>
    <col min="3" max="3" width="19.5" customWidth="1"/>
    <col min="4" max="4" width="22.5" customWidth="1"/>
    <col min="5" max="7" width="19.5" customWidth="1"/>
    <col min="8" max="8" width="17.6640625" customWidth="1"/>
    <col min="9" max="9" width="19.5" customWidth="1"/>
    <col min="10" max="10" width="17.5" customWidth="1"/>
    <col min="11" max="11" width="17.1640625" customWidth="1"/>
    <col min="12" max="18" width="18.33203125" bestFit="1" customWidth="1"/>
    <col min="19" max="27" width="8.6640625" customWidth="1"/>
  </cols>
  <sheetData>
    <row r="1" spans="1:27" ht="14.25" customHeight="1" x14ac:dyDescent="0.2">
      <c r="A1" s="2" t="s">
        <v>0</v>
      </c>
      <c r="D1" s="4" t="s">
        <v>1</v>
      </c>
      <c r="E1" s="2"/>
      <c r="F1" s="2"/>
      <c r="G1" s="2"/>
      <c r="H1" s="2"/>
      <c r="I1" s="2"/>
      <c r="J1" s="2"/>
      <c r="K1" s="2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ht="14.25" customHeight="1" x14ac:dyDescent="0.2">
      <c r="A2" s="2" t="s">
        <v>2</v>
      </c>
      <c r="D2" s="4"/>
      <c r="E2" s="2"/>
      <c r="F2" s="2" t="s">
        <v>3</v>
      </c>
      <c r="G2" s="2"/>
      <c r="H2" s="2"/>
      <c r="I2" s="2"/>
      <c r="J2" s="2"/>
      <c r="K2" s="2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4.25" customHeight="1" x14ac:dyDescent="0.2">
      <c r="A3" s="2"/>
      <c r="B3" s="1" t="s">
        <v>4</v>
      </c>
      <c r="C3" s="1" t="s">
        <v>5</v>
      </c>
      <c r="D3" s="1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</row>
    <row r="4" spans="1:27" ht="14.25" customHeight="1" x14ac:dyDescent="0.2">
      <c r="A4" s="2" t="s">
        <v>30</v>
      </c>
      <c r="B4" s="13">
        <v>6342799138000</v>
      </c>
      <c r="C4" s="13">
        <v>6287074631000</v>
      </c>
      <c r="D4" s="13">
        <v>6018032137000</v>
      </c>
      <c r="E4" s="13">
        <v>6207108405000</v>
      </c>
      <c r="F4" s="13">
        <v>5922715715000</v>
      </c>
      <c r="G4" s="13">
        <v>5976239681000</v>
      </c>
      <c r="H4" s="13">
        <v>5664445219000</v>
      </c>
      <c r="I4" s="13">
        <v>5488214031000</v>
      </c>
      <c r="J4" s="13">
        <v>5499047458000</v>
      </c>
      <c r="K4" s="13">
        <v>5769720845000</v>
      </c>
      <c r="L4" s="13">
        <v>5423799394000</v>
      </c>
      <c r="M4" s="13">
        <v>5436056871000</v>
      </c>
      <c r="N4" s="13">
        <v>5171540190000</v>
      </c>
      <c r="O4" s="13">
        <v>5398021853000</v>
      </c>
      <c r="P4" s="13">
        <v>5224551902000</v>
      </c>
      <c r="Q4" s="13">
        <v>5427074583000</v>
      </c>
      <c r="R4" s="13">
        <v>5115271340000</v>
      </c>
      <c r="S4" s="5"/>
      <c r="T4" s="5"/>
      <c r="U4" s="7"/>
      <c r="V4" s="7"/>
      <c r="W4" s="7"/>
      <c r="X4" s="7"/>
      <c r="Y4" s="7"/>
      <c r="Z4" s="7"/>
      <c r="AA4" s="7"/>
    </row>
    <row r="5" spans="1:27" ht="14.25" customHeight="1" x14ac:dyDescent="0.2">
      <c r="A5" s="2" t="s">
        <v>31</v>
      </c>
      <c r="B5" s="13">
        <v>1914357059000</v>
      </c>
      <c r="C5" s="13">
        <v>1952459070000</v>
      </c>
      <c r="D5" s="13">
        <v>1588829853000</v>
      </c>
      <c r="E5" s="13">
        <v>1819609212000</v>
      </c>
      <c r="F5" s="13">
        <v>1684520584000</v>
      </c>
      <c r="G5" s="13">
        <v>2073151943000</v>
      </c>
      <c r="H5" s="13">
        <v>1766579819000</v>
      </c>
      <c r="I5" s="13">
        <v>1607493338000</v>
      </c>
      <c r="J5" s="13">
        <v>1613179856000</v>
      </c>
      <c r="K5" s="13">
        <v>1875022669000</v>
      </c>
      <c r="L5" s="13">
        <v>1613998990000</v>
      </c>
      <c r="M5" s="13">
        <v>1702439782000</v>
      </c>
      <c r="N5" s="13">
        <v>1596650258000</v>
      </c>
      <c r="O5" s="13">
        <v>1929445126000</v>
      </c>
      <c r="P5" s="13">
        <v>1756866967000</v>
      </c>
      <c r="Q5" s="13">
        <v>1976386640000</v>
      </c>
      <c r="R5" s="13">
        <v>1681968054000</v>
      </c>
      <c r="S5" s="5"/>
      <c r="T5" s="5"/>
      <c r="U5" s="7"/>
      <c r="V5" s="7"/>
      <c r="W5" s="7"/>
      <c r="X5" s="7"/>
      <c r="Y5" s="7"/>
      <c r="Z5" s="7"/>
      <c r="AA5" s="7"/>
    </row>
    <row r="6" spans="1:27" ht="14.25" customHeight="1" x14ac:dyDescent="0.2">
      <c r="A6" s="2" t="s">
        <v>32</v>
      </c>
      <c r="B6" s="13">
        <v>258018162000</v>
      </c>
      <c r="C6" s="13">
        <v>695168978000</v>
      </c>
      <c r="D6" s="13">
        <v>334385754000</v>
      </c>
      <c r="E6" s="13">
        <v>453355101000</v>
      </c>
      <c r="F6" s="13">
        <v>276683736000</v>
      </c>
      <c r="G6" s="13">
        <v>821851671000</v>
      </c>
      <c r="H6" s="13">
        <v>486587666000</v>
      </c>
      <c r="I6" s="13">
        <v>386721193000</v>
      </c>
      <c r="J6" s="13">
        <v>359927276000</v>
      </c>
      <c r="K6" s="13">
        <v>727445233000</v>
      </c>
      <c r="L6" s="13">
        <v>583295262000</v>
      </c>
      <c r="M6" s="13">
        <v>506251051000</v>
      </c>
      <c r="N6" s="13">
        <v>380517170000</v>
      </c>
      <c r="O6" s="13">
        <v>724565113000</v>
      </c>
      <c r="P6" s="13">
        <v>587554526000</v>
      </c>
      <c r="Q6" s="13">
        <v>428262596000</v>
      </c>
      <c r="R6" s="13">
        <v>290672636000</v>
      </c>
      <c r="S6" s="5"/>
      <c r="T6" s="5"/>
      <c r="U6" s="7"/>
      <c r="V6" s="7"/>
      <c r="W6" s="7"/>
      <c r="X6" s="7"/>
      <c r="Y6" s="7"/>
      <c r="Z6" s="7"/>
      <c r="AA6" s="7"/>
    </row>
    <row r="7" spans="1:27" ht="14.25" customHeight="1" x14ac:dyDescent="0.2">
      <c r="A7" s="2" t="s">
        <v>33</v>
      </c>
      <c r="B7" s="13">
        <v>2651152175000</v>
      </c>
      <c r="C7" s="13">
        <v>2460394233000</v>
      </c>
      <c r="D7" s="13">
        <v>2373123326000</v>
      </c>
      <c r="E7" s="13">
        <v>2631574846000</v>
      </c>
      <c r="F7" s="13">
        <v>2615212576000</v>
      </c>
      <c r="G7" s="13">
        <v>2612501553000</v>
      </c>
      <c r="H7" s="13">
        <v>2519627219000</v>
      </c>
      <c r="I7" s="13">
        <v>2793022047000</v>
      </c>
      <c r="J7" s="13">
        <v>2928706623000</v>
      </c>
      <c r="K7" s="13">
        <v>3241193629000</v>
      </c>
      <c r="L7" s="13">
        <v>2965522409000</v>
      </c>
      <c r="M7" s="13">
        <v>3196613547000</v>
      </c>
      <c r="N7" s="13">
        <v>3102894029000</v>
      </c>
      <c r="O7" s="13">
        <v>3165830467000</v>
      </c>
      <c r="P7" s="13">
        <v>3044544460000</v>
      </c>
      <c r="Q7" s="13">
        <v>3304110682000</v>
      </c>
      <c r="R7" s="13">
        <v>3045489535000</v>
      </c>
      <c r="S7" s="5"/>
      <c r="T7" s="5"/>
      <c r="U7" s="7"/>
      <c r="V7" s="7"/>
      <c r="W7" s="7"/>
      <c r="X7" s="7"/>
      <c r="Y7" s="7"/>
      <c r="Z7" s="7"/>
      <c r="AA7" s="7"/>
    </row>
    <row r="8" spans="1:27" ht="14.25" customHeight="1" x14ac:dyDescent="0.2">
      <c r="A8" s="2" t="s">
        <v>34</v>
      </c>
      <c r="B8" s="13">
        <v>124347189000</v>
      </c>
      <c r="C8" s="13">
        <v>165863709000</v>
      </c>
      <c r="D8" s="13">
        <v>190767674000</v>
      </c>
      <c r="E8" s="13">
        <v>141500000000</v>
      </c>
      <c r="F8" s="13">
        <v>122902518000</v>
      </c>
      <c r="G8" s="13">
        <v>290757191000</v>
      </c>
      <c r="H8" s="13">
        <v>357603441000</v>
      </c>
      <c r="I8" s="13">
        <v>525573270000</v>
      </c>
      <c r="J8" s="13">
        <v>531498270000</v>
      </c>
      <c r="K8" s="13">
        <v>378873000000</v>
      </c>
      <c r="L8" s="13">
        <v>443624000000</v>
      </c>
      <c r="M8" s="13">
        <v>504707348000</v>
      </c>
      <c r="N8" s="13">
        <v>469775000000</v>
      </c>
      <c r="O8" s="13">
        <v>498450000000</v>
      </c>
      <c r="P8" s="13">
        <v>554050000000</v>
      </c>
      <c r="Q8" s="13">
        <v>543650000000</v>
      </c>
      <c r="R8" s="13">
        <v>561750000000</v>
      </c>
      <c r="S8" s="5"/>
      <c r="T8" s="5"/>
      <c r="U8" s="7"/>
      <c r="V8" s="7"/>
      <c r="W8" s="7"/>
      <c r="X8" s="7"/>
      <c r="Y8" s="7"/>
      <c r="Z8" s="7"/>
      <c r="AA8" s="7"/>
    </row>
    <row r="9" spans="1:27" ht="14.25" customHeight="1" x14ac:dyDescent="0.2">
      <c r="A9" s="2" t="s">
        <v>35</v>
      </c>
      <c r="B9" s="13">
        <v>3691598827000</v>
      </c>
      <c r="C9" s="13">
        <v>3826634977000</v>
      </c>
      <c r="D9" s="13">
        <v>3644864762000</v>
      </c>
      <c r="E9" s="13">
        <v>3575485566000</v>
      </c>
      <c r="F9" s="13">
        <v>3307456949000</v>
      </c>
      <c r="G9" s="13">
        <v>3363694421000</v>
      </c>
      <c r="H9" s="13">
        <v>3144775624000</v>
      </c>
      <c r="I9" s="13">
        <v>2695153115000</v>
      </c>
      <c r="J9" s="13">
        <v>2570303026000</v>
      </c>
      <c r="K9" s="13">
        <v>2528491061000</v>
      </c>
      <c r="L9" s="13">
        <v>2458241414000</v>
      </c>
      <c r="M9" s="13">
        <v>2239409582000</v>
      </c>
      <c r="N9" s="13">
        <v>2068614365000</v>
      </c>
      <c r="O9" s="13">
        <v>2232159707000</v>
      </c>
      <c r="P9" s="13">
        <v>2179976035000</v>
      </c>
      <c r="Q9" s="13">
        <v>2122933797000</v>
      </c>
      <c r="R9" s="13">
        <v>2069752193000</v>
      </c>
      <c r="S9" s="5"/>
      <c r="T9" s="5"/>
      <c r="U9" s="7"/>
      <c r="V9" s="7"/>
      <c r="W9" s="7"/>
      <c r="X9" s="7"/>
      <c r="Y9" s="7"/>
      <c r="Z9" s="7"/>
      <c r="AA9" s="7"/>
    </row>
    <row r="10" spans="1:27" ht="14.25" customHeight="1" x14ac:dyDescent="0.2">
      <c r="A10" s="2" t="s">
        <v>36</v>
      </c>
      <c r="B10" s="13">
        <v>543642277000</v>
      </c>
      <c r="C10" s="13">
        <v>181770215000</v>
      </c>
      <c r="D10" s="13">
        <v>1106606494000</v>
      </c>
      <c r="E10" s="13">
        <v>829300009000</v>
      </c>
      <c r="F10" s="13">
        <v>561271392000</v>
      </c>
      <c r="G10" s="13">
        <v>218918797000</v>
      </c>
      <c r="H10" s="13">
        <v>825587405000</v>
      </c>
      <c r="I10" s="13">
        <v>393904832000</v>
      </c>
      <c r="J10" s="13">
        <v>269054743000</v>
      </c>
      <c r="K10" s="13">
        <v>70249647000</v>
      </c>
      <c r="L10" s="13">
        <v>451789538000</v>
      </c>
      <c r="M10" s="13">
        <v>234190360000</v>
      </c>
      <c r="N10" s="13">
        <v>63395143000</v>
      </c>
      <c r="O10" s="13">
        <v>52183672000</v>
      </c>
      <c r="P10" s="13">
        <v>573973852000</v>
      </c>
      <c r="Q10" s="13">
        <v>560468184000</v>
      </c>
      <c r="R10" s="13">
        <v>507129583000</v>
      </c>
      <c r="S10" s="5"/>
      <c r="T10" s="5"/>
      <c r="U10" s="7"/>
      <c r="V10" s="7"/>
      <c r="W10" s="7"/>
      <c r="X10" s="7"/>
      <c r="Y10" s="7"/>
      <c r="Z10" s="7"/>
      <c r="AA10" s="7"/>
    </row>
    <row r="11" spans="1:27" ht="14.25" customHeight="1" x14ac:dyDescent="0.2">
      <c r="A11" s="6" t="s">
        <v>37</v>
      </c>
      <c r="B11" s="13">
        <v>2714423457000</v>
      </c>
      <c r="C11" s="13">
        <v>1367452843000</v>
      </c>
      <c r="D11" s="13">
        <v>5421391584000</v>
      </c>
      <c r="E11" s="13">
        <v>3813244295000</v>
      </c>
      <c r="F11" s="13">
        <v>2549841179000</v>
      </c>
      <c r="G11" s="13">
        <v>1280624553000</v>
      </c>
      <c r="H11" s="13">
        <v>4211481582000</v>
      </c>
      <c r="I11" s="13">
        <v>2868602829000</v>
      </c>
      <c r="J11" s="13">
        <v>1865434549000</v>
      </c>
      <c r="K11" s="13">
        <v>858644407000</v>
      </c>
      <c r="L11" s="13">
        <v>4007082262000</v>
      </c>
      <c r="M11" s="13">
        <v>2885430562000</v>
      </c>
      <c r="N11" s="13">
        <v>1915665661000</v>
      </c>
      <c r="O11" s="13">
        <v>955565876000</v>
      </c>
      <c r="P11" s="13">
        <v>3613176678000</v>
      </c>
      <c r="Q11" s="13">
        <v>2467677554000</v>
      </c>
      <c r="R11" s="13">
        <v>1770137910000</v>
      </c>
      <c r="S11" s="5"/>
      <c r="T11" s="5"/>
      <c r="U11" s="7"/>
      <c r="V11" s="7"/>
      <c r="W11" s="7"/>
      <c r="X11" s="7"/>
      <c r="Y11" s="7"/>
      <c r="Z11" s="7"/>
      <c r="AA11" s="7"/>
    </row>
    <row r="12" spans="1:27" ht="14.25" customHeight="1" x14ac:dyDescent="0.2">
      <c r="A12" s="2" t="s">
        <v>38</v>
      </c>
      <c r="B12" s="13">
        <v>851671746000</v>
      </c>
      <c r="C12" s="13">
        <v>545153215000</v>
      </c>
      <c r="D12" s="13">
        <v>1544117069000</v>
      </c>
      <c r="E12" s="13">
        <v>1670634109000</v>
      </c>
      <c r="F12" s="13">
        <v>1199712765000</v>
      </c>
      <c r="G12" s="13">
        <v>612102984000</v>
      </c>
      <c r="H12" s="13">
        <v>1140257076000</v>
      </c>
      <c r="I12" s="13">
        <v>863545856000</v>
      </c>
      <c r="J12" s="13">
        <v>531522269000</v>
      </c>
      <c r="K12" s="13">
        <v>472816520000</v>
      </c>
      <c r="L12" s="13">
        <v>1313645740000</v>
      </c>
      <c r="M12" s="13">
        <v>947753157000</v>
      </c>
      <c r="N12" s="13">
        <v>432252797000</v>
      </c>
      <c r="O12" s="13">
        <v>332794438000</v>
      </c>
      <c r="P12" s="13">
        <v>799499935000</v>
      </c>
      <c r="Q12" s="13">
        <v>399402620000</v>
      </c>
      <c r="R12" s="13">
        <v>63324628000</v>
      </c>
      <c r="S12" s="5"/>
      <c r="T12" s="5"/>
      <c r="U12" s="7"/>
      <c r="V12" s="7"/>
      <c r="W12" s="7"/>
      <c r="X12" s="7"/>
      <c r="Y12" s="7"/>
      <c r="Z12" s="7"/>
      <c r="AA12" s="7"/>
    </row>
    <row r="13" spans="1:27" ht="14.25" customHeight="1" x14ac:dyDescent="0.2">
      <c r="A13" s="2" t="s">
        <v>39</v>
      </c>
      <c r="B13" s="13">
        <v>12946530200</v>
      </c>
      <c r="C13" s="13">
        <v>12946530200</v>
      </c>
      <c r="D13" s="13">
        <v>12946530200</v>
      </c>
      <c r="E13" s="13">
        <v>12946530200</v>
      </c>
      <c r="F13" s="13">
        <v>12946530200</v>
      </c>
      <c r="G13" s="13">
        <v>12946530200</v>
      </c>
      <c r="H13" s="13">
        <v>12946530200</v>
      </c>
      <c r="I13" s="13">
        <v>12946530200</v>
      </c>
      <c r="J13" s="13">
        <v>12946530200</v>
      </c>
      <c r="K13" s="13">
        <v>12946530200</v>
      </c>
      <c r="L13" s="13">
        <v>12946530200</v>
      </c>
      <c r="M13" s="13">
        <v>12946530200</v>
      </c>
      <c r="N13" s="13">
        <v>12946530200</v>
      </c>
      <c r="O13" s="13">
        <v>12946530200</v>
      </c>
      <c r="P13" s="13">
        <v>12946530200</v>
      </c>
      <c r="Q13" s="13">
        <v>12946530200</v>
      </c>
      <c r="R13" s="13">
        <v>12946530200</v>
      </c>
      <c r="S13" s="5"/>
      <c r="T13" s="5"/>
      <c r="U13" s="7"/>
      <c r="V13" s="7"/>
      <c r="W13" s="7"/>
      <c r="X13" s="7"/>
      <c r="Y13" s="7"/>
      <c r="Z13" s="7"/>
      <c r="AA13" s="7"/>
    </row>
    <row r="14" spans="1:27" ht="14.25" customHeight="1" x14ac:dyDescent="0.2">
      <c r="A14" s="2" t="s">
        <v>40</v>
      </c>
      <c r="B14" s="4">
        <v>560</v>
      </c>
      <c r="C14" s="4">
        <v>530</v>
      </c>
      <c r="D14" s="4">
        <v>595</v>
      </c>
      <c r="E14" s="4">
        <v>700</v>
      </c>
      <c r="F14" s="4">
        <v>630</v>
      </c>
      <c r="G14" s="4">
        <v>590</v>
      </c>
      <c r="H14" s="5">
        <v>585</v>
      </c>
      <c r="I14" s="5">
        <v>520</v>
      </c>
      <c r="J14" s="5">
        <v>464</v>
      </c>
      <c r="K14" s="5">
        <v>444</v>
      </c>
      <c r="L14" s="5">
        <v>450</v>
      </c>
      <c r="M14" s="5">
        <v>454</v>
      </c>
      <c r="N14" s="5">
        <v>462</v>
      </c>
      <c r="O14" s="5">
        <v>454</v>
      </c>
      <c r="P14" s="5">
        <v>470</v>
      </c>
      <c r="Q14" s="5">
        <v>580</v>
      </c>
      <c r="R14" s="5">
        <v>600</v>
      </c>
      <c r="S14" s="5">
        <v>650</v>
      </c>
      <c r="T14" s="5">
        <v>665</v>
      </c>
      <c r="U14" s="7">
        <v>570</v>
      </c>
      <c r="V14" s="7">
        <v>570</v>
      </c>
      <c r="W14" s="4">
        <v>570</v>
      </c>
      <c r="X14" s="7">
        <v>570</v>
      </c>
      <c r="Y14" s="7">
        <v>570</v>
      </c>
      <c r="Z14" s="7">
        <v>1140</v>
      </c>
      <c r="AA14" s="7">
        <v>1140</v>
      </c>
    </row>
    <row r="15" spans="1:27" ht="14.25" customHeight="1" x14ac:dyDescent="0.2">
      <c r="A15" s="8" t="s">
        <v>41</v>
      </c>
      <c r="B15" s="6">
        <f t="shared" ref="B15:AA15" si="0">B9/B13</f>
        <v>285.14194691331272</v>
      </c>
      <c r="C15" s="6">
        <f t="shared" si="0"/>
        <v>295.5722435189623</v>
      </c>
      <c r="D15" s="6">
        <f t="shared" si="0"/>
        <v>281.53217160842058</v>
      </c>
      <c r="E15" s="6">
        <f t="shared" si="0"/>
        <v>276.17326888095471</v>
      </c>
      <c r="F15" s="6">
        <f t="shared" si="0"/>
        <v>255.47053132429258</v>
      </c>
      <c r="G15" s="6">
        <f t="shared" si="0"/>
        <v>259.81435713176649</v>
      </c>
      <c r="H15" s="6">
        <f t="shared" si="0"/>
        <v>242.90490003259714</v>
      </c>
      <c r="I15" s="6">
        <f t="shared" si="0"/>
        <v>208.17570989020672</v>
      </c>
      <c r="J15" s="6">
        <f t="shared" si="0"/>
        <v>198.53219250977378</v>
      </c>
      <c r="K15" s="6">
        <f t="shared" si="0"/>
        <v>195.30260401354488</v>
      </c>
      <c r="L15" s="6">
        <f t="shared" si="0"/>
        <v>189.87646697800156</v>
      </c>
      <c r="M15" s="6">
        <f t="shared" si="0"/>
        <v>172.97372712265405</v>
      </c>
      <c r="N15" s="6">
        <f t="shared" si="0"/>
        <v>159.78137254103805</v>
      </c>
      <c r="O15" s="6">
        <f t="shared" si="0"/>
        <v>172.41374117367755</v>
      </c>
      <c r="P15" s="6">
        <f t="shared" si="0"/>
        <v>168.38303401169219</v>
      </c>
      <c r="Q15" s="6">
        <f t="shared" si="0"/>
        <v>163.97704745631381</v>
      </c>
      <c r="R15" s="6">
        <f t="shared" si="0"/>
        <v>159.86925925527134</v>
      </c>
      <c r="S15" s="6" t="e">
        <f t="shared" si="0"/>
        <v>#DIV/0!</v>
      </c>
      <c r="T15" s="6" t="e">
        <f t="shared" si="0"/>
        <v>#DIV/0!</v>
      </c>
      <c r="U15" s="6" t="e">
        <f t="shared" si="0"/>
        <v>#DIV/0!</v>
      </c>
      <c r="V15" s="6" t="e">
        <f t="shared" si="0"/>
        <v>#DIV/0!</v>
      </c>
      <c r="W15" s="6" t="e">
        <f t="shared" si="0"/>
        <v>#DIV/0!</v>
      </c>
      <c r="X15" s="9" t="e">
        <f t="shared" si="0"/>
        <v>#DIV/0!</v>
      </c>
      <c r="Y15" s="9" t="e">
        <f t="shared" si="0"/>
        <v>#DIV/0!</v>
      </c>
      <c r="Z15" s="9" t="e">
        <f t="shared" si="0"/>
        <v>#DIV/0!</v>
      </c>
      <c r="AA15" s="9" t="e">
        <f t="shared" si="0"/>
        <v>#DIV/0!</v>
      </c>
    </row>
    <row r="16" spans="1:27" ht="14.25" customHeight="1" x14ac:dyDescent="0.2">
      <c r="A16" s="8" t="s">
        <v>42</v>
      </c>
      <c r="B16" s="6">
        <f t="shared" ref="B16:AA16" si="1">B5-B7</f>
        <v>-736795116000</v>
      </c>
      <c r="C16" s="6">
        <f t="shared" si="1"/>
        <v>-507935163000</v>
      </c>
      <c r="D16" s="6">
        <f t="shared" si="1"/>
        <v>-784293473000</v>
      </c>
      <c r="E16" s="6">
        <f t="shared" si="1"/>
        <v>-811965634000</v>
      </c>
      <c r="F16" s="6">
        <f t="shared" si="1"/>
        <v>-930691992000</v>
      </c>
      <c r="G16" s="6">
        <f t="shared" si="1"/>
        <v>-539349610000</v>
      </c>
      <c r="H16" s="6">
        <f t="shared" si="1"/>
        <v>-753047400000</v>
      </c>
      <c r="I16" s="6">
        <f t="shared" si="1"/>
        <v>-1185528709000</v>
      </c>
      <c r="J16" s="6">
        <f t="shared" si="1"/>
        <v>-1315526767000</v>
      </c>
      <c r="K16" s="6">
        <f t="shared" si="1"/>
        <v>-1366170960000</v>
      </c>
      <c r="L16" s="6">
        <f t="shared" si="1"/>
        <v>-1351523419000</v>
      </c>
      <c r="M16" s="6">
        <f t="shared" si="1"/>
        <v>-1494173765000</v>
      </c>
      <c r="N16" s="6">
        <f t="shared" si="1"/>
        <v>-1506243771000</v>
      </c>
      <c r="O16" s="6">
        <f t="shared" si="1"/>
        <v>-1236385341000</v>
      </c>
      <c r="P16" s="6">
        <f t="shared" si="1"/>
        <v>-1287677493000</v>
      </c>
      <c r="Q16" s="6">
        <f t="shared" si="1"/>
        <v>-1327724042000</v>
      </c>
      <c r="R16" s="6">
        <f t="shared" si="1"/>
        <v>-1363521481000</v>
      </c>
      <c r="S16" s="6">
        <f t="shared" si="1"/>
        <v>0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9">
        <f t="shared" si="1"/>
        <v>0</v>
      </c>
      <c r="Y16" s="9">
        <f t="shared" si="1"/>
        <v>0</v>
      </c>
      <c r="Z16" s="9">
        <f t="shared" si="1"/>
        <v>0</v>
      </c>
      <c r="AA16" s="9">
        <f t="shared" si="1"/>
        <v>0</v>
      </c>
    </row>
    <row r="17" spans="1:27" ht="14.25" customHeight="1" x14ac:dyDescent="0.2">
      <c r="A17" s="8" t="s">
        <v>43</v>
      </c>
      <c r="B17" s="10">
        <f t="shared" ref="B17:AA17" si="2">B10/B4</f>
        <v>8.5710151807112139E-2</v>
      </c>
      <c r="C17" s="10">
        <f t="shared" si="2"/>
        <v>2.8911731714418708E-2</v>
      </c>
      <c r="D17" s="10">
        <f t="shared" si="2"/>
        <v>0.1838817854089502</v>
      </c>
      <c r="E17" s="10">
        <f t="shared" si="2"/>
        <v>0.13360488570361934</v>
      </c>
      <c r="F17" s="10">
        <f t="shared" si="2"/>
        <v>9.4765884268007625E-2</v>
      </c>
      <c r="G17" s="10">
        <f t="shared" si="2"/>
        <v>3.6631528968960041E-2</v>
      </c>
      <c r="H17" s="10">
        <f t="shared" si="2"/>
        <v>0.14574903156107299</v>
      </c>
      <c r="I17" s="10">
        <f t="shared" si="2"/>
        <v>7.1772862679013838E-2</v>
      </c>
      <c r="J17" s="10">
        <f t="shared" si="2"/>
        <v>4.8927517911957617E-2</v>
      </c>
      <c r="K17" s="10">
        <f t="shared" si="2"/>
        <v>1.2175571208246212E-2</v>
      </c>
      <c r="L17" s="10">
        <f t="shared" si="2"/>
        <v>8.3297612094537579E-2</v>
      </c>
      <c r="M17" s="10">
        <f t="shared" si="2"/>
        <v>4.30809253025565E-2</v>
      </c>
      <c r="N17" s="10">
        <f t="shared" si="2"/>
        <v>1.2258464726346834E-2</v>
      </c>
      <c r="O17" s="10">
        <f t="shared" si="2"/>
        <v>9.667184279922551E-3</v>
      </c>
      <c r="P17" s="10">
        <f t="shared" si="2"/>
        <v>0.10986087663906224</v>
      </c>
      <c r="Q17" s="10">
        <f t="shared" si="2"/>
        <v>0.10327261500249775</v>
      </c>
      <c r="R17" s="10">
        <f t="shared" si="2"/>
        <v>9.9140309338898142E-2</v>
      </c>
      <c r="S17" s="10" t="e">
        <f t="shared" si="2"/>
        <v>#DIV/0!</v>
      </c>
      <c r="T17" s="10" t="e">
        <f t="shared" si="2"/>
        <v>#DIV/0!</v>
      </c>
      <c r="U17" s="10" t="e">
        <f t="shared" si="2"/>
        <v>#DIV/0!</v>
      </c>
      <c r="V17" s="10" t="e">
        <f t="shared" si="2"/>
        <v>#DIV/0!</v>
      </c>
      <c r="W17" s="10" t="e">
        <f t="shared" si="2"/>
        <v>#DIV/0!</v>
      </c>
      <c r="X17" s="10" t="e">
        <f t="shared" si="2"/>
        <v>#DIV/0!</v>
      </c>
      <c r="Y17" s="10" t="e">
        <f t="shared" si="2"/>
        <v>#DIV/0!</v>
      </c>
      <c r="Z17" s="10" t="e">
        <f t="shared" si="2"/>
        <v>#DIV/0!</v>
      </c>
      <c r="AA17" s="10" t="e">
        <f t="shared" si="2"/>
        <v>#DIV/0!</v>
      </c>
    </row>
    <row r="18" spans="1:27" ht="14.25" customHeight="1" x14ac:dyDescent="0.2">
      <c r="A18" s="8" t="s">
        <v>44</v>
      </c>
      <c r="B18" s="10">
        <f t="shared" ref="B18:AA18" si="3">B10/B9</f>
        <v>0.14726472254348238</v>
      </c>
      <c r="C18" s="10">
        <f t="shared" si="3"/>
        <v>4.7501320636154316E-2</v>
      </c>
      <c r="D18" s="10">
        <f t="shared" si="3"/>
        <v>0.3036070104814495</v>
      </c>
      <c r="E18" s="10">
        <f t="shared" si="3"/>
        <v>0.23194052771069137</v>
      </c>
      <c r="F18" s="10">
        <f t="shared" si="3"/>
        <v>0.16969877481540577</v>
      </c>
      <c r="G18" s="10">
        <f t="shared" si="3"/>
        <v>6.5082843326450909E-2</v>
      </c>
      <c r="H18" s="10">
        <f t="shared" si="3"/>
        <v>0.26252664854667546</v>
      </c>
      <c r="I18" s="10">
        <f t="shared" si="3"/>
        <v>0.14615304407297097</v>
      </c>
      <c r="J18" s="10">
        <f t="shared" si="3"/>
        <v>0.10467821897977254</v>
      </c>
      <c r="K18" s="10">
        <f t="shared" si="3"/>
        <v>2.7783229327382621E-2</v>
      </c>
      <c r="L18" s="10">
        <f t="shared" si="3"/>
        <v>0.18378566703294505</v>
      </c>
      <c r="M18" s="10">
        <f t="shared" si="3"/>
        <v>0.10457683216254096</v>
      </c>
      <c r="N18" s="10">
        <f t="shared" si="3"/>
        <v>3.0646187164034316E-2</v>
      </c>
      <c r="O18" s="10">
        <f t="shared" si="3"/>
        <v>2.3378108580830143E-2</v>
      </c>
      <c r="P18" s="10">
        <f t="shared" si="3"/>
        <v>0.26329365221668594</v>
      </c>
      <c r="Q18" s="10">
        <f t="shared" si="3"/>
        <v>0.2640064352416544</v>
      </c>
      <c r="R18" s="10">
        <f t="shared" si="3"/>
        <v>0.24501946885967135</v>
      </c>
      <c r="S18" s="10" t="e">
        <f t="shared" si="3"/>
        <v>#DIV/0!</v>
      </c>
      <c r="T18" s="10" t="e">
        <f t="shared" si="3"/>
        <v>#DIV/0!</v>
      </c>
      <c r="U18" s="10" t="e">
        <f t="shared" si="3"/>
        <v>#DIV/0!</v>
      </c>
      <c r="V18" s="10" t="e">
        <f t="shared" si="3"/>
        <v>#DIV/0!</v>
      </c>
      <c r="W18" s="10" t="e">
        <f t="shared" si="3"/>
        <v>#DIV/0!</v>
      </c>
      <c r="X18" s="10" t="e">
        <f t="shared" si="3"/>
        <v>#DIV/0!</v>
      </c>
      <c r="Y18" s="10" t="e">
        <f t="shared" si="3"/>
        <v>#DIV/0!</v>
      </c>
      <c r="Z18" s="10" t="e">
        <f t="shared" si="3"/>
        <v>#DIV/0!</v>
      </c>
      <c r="AA18" s="10" t="e">
        <f t="shared" si="3"/>
        <v>#DIV/0!</v>
      </c>
    </row>
    <row r="19" spans="1:27" ht="14.25" customHeight="1" x14ac:dyDescent="0.2">
      <c r="A19" s="8" t="s">
        <v>45</v>
      </c>
      <c r="B19" s="11">
        <f t="shared" ref="B19:AA19" si="4">B14/B15</f>
        <v>1.9639341249579394</v>
      </c>
      <c r="C19" s="11">
        <f t="shared" si="4"/>
        <v>1.7931318370427367</v>
      </c>
      <c r="D19" s="11">
        <f t="shared" si="4"/>
        <v>2.11343519499284</v>
      </c>
      <c r="E19" s="11">
        <f t="shared" si="4"/>
        <v>2.5346406726341679</v>
      </c>
      <c r="F19" s="11">
        <f t="shared" si="4"/>
        <v>2.4660378507620599</v>
      </c>
      <c r="G19" s="11">
        <f t="shared" si="4"/>
        <v>2.2708521827405317</v>
      </c>
      <c r="H19" s="11">
        <f t="shared" si="4"/>
        <v>2.4083499341573376</v>
      </c>
      <c r="I19" s="11">
        <f t="shared" si="4"/>
        <v>2.4978898848201432</v>
      </c>
      <c r="J19" s="11">
        <f t="shared" si="4"/>
        <v>2.3371524493548179</v>
      </c>
      <c r="K19" s="11">
        <f t="shared" si="4"/>
        <v>2.2733951871384526</v>
      </c>
      <c r="L19" s="11">
        <f t="shared" si="4"/>
        <v>2.3699619397918092</v>
      </c>
      <c r="M19" s="11">
        <f t="shared" si="4"/>
        <v>2.6246760566017802</v>
      </c>
      <c r="N19" s="11">
        <f t="shared" si="4"/>
        <v>2.8914509410747518</v>
      </c>
      <c r="O19" s="11">
        <f t="shared" si="4"/>
        <v>2.6332007931007779</v>
      </c>
      <c r="P19" s="11">
        <f t="shared" si="4"/>
        <v>2.7912550855174882</v>
      </c>
      <c r="Q19" s="11">
        <f t="shared" si="4"/>
        <v>3.5370803962946189</v>
      </c>
      <c r="R19" s="11">
        <f t="shared" si="4"/>
        <v>3.7530667421305157</v>
      </c>
      <c r="S19" s="11" t="e">
        <f t="shared" si="4"/>
        <v>#DIV/0!</v>
      </c>
      <c r="T19" s="11" t="e">
        <f t="shared" si="4"/>
        <v>#DIV/0!</v>
      </c>
      <c r="U19" s="11" t="e">
        <f t="shared" si="4"/>
        <v>#DIV/0!</v>
      </c>
      <c r="V19" s="11" t="e">
        <f t="shared" si="4"/>
        <v>#DIV/0!</v>
      </c>
      <c r="W19" s="11" t="e">
        <f t="shared" si="4"/>
        <v>#DIV/0!</v>
      </c>
      <c r="X19" s="9" t="e">
        <f t="shared" si="4"/>
        <v>#DIV/0!</v>
      </c>
      <c r="Y19" s="9" t="e">
        <f t="shared" si="4"/>
        <v>#DIV/0!</v>
      </c>
      <c r="Z19" s="9" t="e">
        <f t="shared" si="4"/>
        <v>#DIV/0!</v>
      </c>
      <c r="AA19" s="9" t="e">
        <f t="shared" si="4"/>
        <v>#DIV/0!</v>
      </c>
    </row>
    <row r="20" spans="1:27" ht="14.25" customHeight="1" x14ac:dyDescent="0.2">
      <c r="A20" s="8" t="s">
        <v>46</v>
      </c>
      <c r="B20" s="11">
        <f t="shared" ref="B20:AA20" si="5">B14/B21</f>
        <v>13.336080026756271</v>
      </c>
      <c r="C20" s="11">
        <f t="shared" si="5"/>
        <v>37.749094404713112</v>
      </c>
      <c r="D20" s="11">
        <f t="shared" si="5"/>
        <v>6.961088255641485</v>
      </c>
      <c r="E20" s="11">
        <f t="shared" si="5"/>
        <v>10.927976656997721</v>
      </c>
      <c r="F20" s="11">
        <f t="shared" si="5"/>
        <v>14.531854183653101</v>
      </c>
      <c r="G20" s="11">
        <f t="shared" si="5"/>
        <v>34.891717489202172</v>
      </c>
      <c r="H20" s="11">
        <f t="shared" si="5"/>
        <v>9.1737351140912811</v>
      </c>
      <c r="I20" s="11">
        <f t="shared" si="5"/>
        <v>17.090919321345112</v>
      </c>
      <c r="J20" s="11">
        <f t="shared" si="5"/>
        <v>22.327017713268855</v>
      </c>
      <c r="K20" s="11">
        <f t="shared" si="5"/>
        <v>81.826167878110482</v>
      </c>
      <c r="L20" s="11">
        <f t="shared" si="5"/>
        <v>12.895249004194515</v>
      </c>
      <c r="M20" s="11">
        <f t="shared" si="5"/>
        <v>25.098064287530878</v>
      </c>
      <c r="N20" s="11">
        <f t="shared" si="5"/>
        <v>94.349451225309167</v>
      </c>
      <c r="O20" s="11">
        <f t="shared" si="5"/>
        <v>112.63532222876152</v>
      </c>
      <c r="P20" s="11">
        <f t="shared" si="5"/>
        <v>10.60130034285952</v>
      </c>
      <c r="Q20" s="11">
        <f t="shared" si="5"/>
        <v>13.397705222817788</v>
      </c>
      <c r="R20" s="11">
        <f t="shared" si="5"/>
        <v>15.317422568897939</v>
      </c>
      <c r="S20" s="11" t="e">
        <f t="shared" si="5"/>
        <v>#DIV/0!</v>
      </c>
      <c r="T20" s="11" t="e">
        <f t="shared" si="5"/>
        <v>#DIV/0!</v>
      </c>
      <c r="U20" s="11" t="e">
        <f t="shared" si="5"/>
        <v>#DIV/0!</v>
      </c>
      <c r="V20" s="11" t="e">
        <f t="shared" si="5"/>
        <v>#DIV/0!</v>
      </c>
      <c r="W20" s="11" t="e">
        <f t="shared" si="5"/>
        <v>#DIV/0!</v>
      </c>
      <c r="X20" s="9" t="e">
        <f t="shared" si="5"/>
        <v>#DIV/0!</v>
      </c>
      <c r="Y20" s="9" t="e">
        <f t="shared" si="5"/>
        <v>#DIV/0!</v>
      </c>
      <c r="Z20" s="9" t="e">
        <f t="shared" si="5"/>
        <v>#DIV/0!</v>
      </c>
      <c r="AA20" s="9" t="e">
        <f t="shared" si="5"/>
        <v>#DIV/0!</v>
      </c>
    </row>
    <row r="21" spans="1:27" ht="14.25" customHeight="1" x14ac:dyDescent="0.2">
      <c r="A21" s="8" t="s">
        <v>47</v>
      </c>
      <c r="B21" s="6">
        <f t="shared" ref="B21:AA21" si="6">B10/B13</f>
        <v>41.99134969769738</v>
      </c>
      <c r="C21" s="6">
        <f t="shared" si="6"/>
        <v>14.040071910541714</v>
      </c>
      <c r="D21" s="6">
        <f t="shared" si="6"/>
        <v>85.475140976383003</v>
      </c>
      <c r="E21" s="6">
        <f t="shared" si="6"/>
        <v>64.055773723835287</v>
      </c>
      <c r="F21" s="6">
        <f t="shared" si="6"/>
        <v>43.353036167173194</v>
      </c>
      <c r="G21" s="6">
        <f t="shared" si="6"/>
        <v>16.90945709916932</v>
      </c>
      <c r="H21" s="6">
        <f t="shared" si="6"/>
        <v>63.769009321122965</v>
      </c>
      <c r="I21" s="6">
        <f t="shared" si="6"/>
        <v>30.425513702505402</v>
      </c>
      <c r="J21" s="6">
        <f t="shared" si="6"/>
        <v>20.781996322072459</v>
      </c>
      <c r="K21" s="6">
        <f t="shared" si="6"/>
        <v>5.4261370355433147</v>
      </c>
      <c r="L21" s="6">
        <f t="shared" si="6"/>
        <v>34.896573137410982</v>
      </c>
      <c r="M21" s="6">
        <f t="shared" si="6"/>
        <v>18.089044429834953</v>
      </c>
      <c r="N21" s="6">
        <f t="shared" si="6"/>
        <v>4.896689848218946</v>
      </c>
      <c r="O21" s="6">
        <f t="shared" si="6"/>
        <v>4.0307071619853785</v>
      </c>
      <c r="P21" s="6">
        <f t="shared" si="6"/>
        <v>44.334183996264883</v>
      </c>
      <c r="Q21" s="6">
        <f t="shared" si="6"/>
        <v>43.290995760393002</v>
      </c>
      <c r="R21" s="6">
        <f t="shared" si="6"/>
        <v>39.171080989715684</v>
      </c>
      <c r="S21" s="6" t="e">
        <f t="shared" si="6"/>
        <v>#DIV/0!</v>
      </c>
      <c r="T21" s="6" t="e">
        <f t="shared" si="6"/>
        <v>#DIV/0!</v>
      </c>
      <c r="U21" s="6" t="e">
        <f t="shared" si="6"/>
        <v>#DIV/0!</v>
      </c>
      <c r="V21" s="6" t="e">
        <f t="shared" si="6"/>
        <v>#DIV/0!</v>
      </c>
      <c r="W21" s="6" t="e">
        <f t="shared" si="6"/>
        <v>#DIV/0!</v>
      </c>
      <c r="X21" s="9" t="e">
        <f t="shared" si="6"/>
        <v>#DIV/0!</v>
      </c>
      <c r="Y21" s="9" t="e">
        <f t="shared" si="6"/>
        <v>#DIV/0!</v>
      </c>
      <c r="Z21" s="9" t="e">
        <f t="shared" si="6"/>
        <v>#DIV/0!</v>
      </c>
      <c r="AA21" s="9" t="e">
        <f t="shared" si="6"/>
        <v>#DIV/0!</v>
      </c>
    </row>
    <row r="22" spans="1:27" ht="14.25" customHeight="1" x14ac:dyDescent="0.2">
      <c r="A22" s="8" t="s">
        <v>48</v>
      </c>
      <c r="B22" s="10">
        <f t="shared" ref="B22:AA22" si="7">B7/B9</f>
        <v>0.71815825587811088</v>
      </c>
      <c r="C22" s="10">
        <f t="shared" si="7"/>
        <v>0.64296548999008429</v>
      </c>
      <c r="D22" s="10">
        <f t="shared" si="7"/>
        <v>0.65108679771641964</v>
      </c>
      <c r="E22" s="10">
        <f t="shared" si="7"/>
        <v>0.73600488588855351</v>
      </c>
      <c r="F22" s="10">
        <f t="shared" si="7"/>
        <v>0.79070192487031521</v>
      </c>
      <c r="G22" s="10">
        <f t="shared" si="7"/>
        <v>0.77667624522899548</v>
      </c>
      <c r="H22" s="10">
        <f t="shared" si="7"/>
        <v>0.80121049011285517</v>
      </c>
      <c r="I22" s="10">
        <f t="shared" si="7"/>
        <v>1.0363129394969457</v>
      </c>
      <c r="J22" s="10">
        <f t="shared" si="7"/>
        <v>1.1394402112803643</v>
      </c>
      <c r="K22" s="10">
        <f t="shared" si="7"/>
        <v>1.2818687315106154</v>
      </c>
      <c r="L22" s="10">
        <f t="shared" si="7"/>
        <v>1.2063593071498062</v>
      </c>
      <c r="M22" s="10">
        <f t="shared" si="7"/>
        <v>1.4274358619762304</v>
      </c>
      <c r="N22" s="10">
        <f t="shared" si="7"/>
        <v>1.4999866971338565</v>
      </c>
      <c r="O22" s="10">
        <f t="shared" si="7"/>
        <v>1.418281342984568</v>
      </c>
      <c r="P22" s="10">
        <f t="shared" si="7"/>
        <v>1.3965953804625195</v>
      </c>
      <c r="Q22" s="10">
        <f t="shared" si="7"/>
        <v>1.5563889399985844</v>
      </c>
      <c r="R22" s="10">
        <f t="shared" si="7"/>
        <v>1.4714271328229485</v>
      </c>
      <c r="S22" s="10" t="e">
        <f t="shared" si="7"/>
        <v>#DIV/0!</v>
      </c>
      <c r="T22" s="10" t="e">
        <f t="shared" si="7"/>
        <v>#DIV/0!</v>
      </c>
      <c r="U22" s="10" t="e">
        <f t="shared" si="7"/>
        <v>#DIV/0!</v>
      </c>
      <c r="V22" s="10" t="e">
        <f t="shared" si="7"/>
        <v>#DIV/0!</v>
      </c>
      <c r="W22" s="10" t="e">
        <f t="shared" si="7"/>
        <v>#DIV/0!</v>
      </c>
      <c r="X22" s="10" t="e">
        <f t="shared" si="7"/>
        <v>#DIV/0!</v>
      </c>
      <c r="Y22" s="10" t="e">
        <f t="shared" si="7"/>
        <v>#DIV/0!</v>
      </c>
      <c r="Z22" s="10" t="e">
        <f t="shared" si="7"/>
        <v>#DIV/0!</v>
      </c>
      <c r="AA22" s="10" t="e">
        <f t="shared" si="7"/>
        <v>#DIV/0!</v>
      </c>
    </row>
    <row r="23" spans="1:27" ht="14.25" customHeight="1" x14ac:dyDescent="0.2"/>
    <row r="24" spans="1:27" ht="14.25" customHeight="1" x14ac:dyDescent="0.2"/>
    <row r="25" spans="1:27" ht="14.25" customHeight="1" x14ac:dyDescent="0.2"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27" ht="14.25" customHeight="1" x14ac:dyDescent="0.2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27" ht="14.25" customHeight="1" x14ac:dyDescent="0.2"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27" ht="14.25" customHeight="1" x14ac:dyDescent="0.2"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27" ht="14.25" customHeight="1" x14ac:dyDescent="0.2"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27" ht="14.25" customHeight="1" x14ac:dyDescent="0.2"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27" ht="14.25" customHeight="1" x14ac:dyDescent="0.2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27" ht="14.25" customHeight="1" x14ac:dyDescent="0.2"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2:18" ht="14.25" customHeight="1" x14ac:dyDescent="0.2"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2:18" ht="14.25" customHeight="1" x14ac:dyDescent="0.2"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2:18" ht="14.25" customHeight="1" x14ac:dyDescent="0.2"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2:18" ht="14.25" customHeight="1" x14ac:dyDescent="0.2"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2:18" ht="14.25" customHeight="1" x14ac:dyDescent="0.2"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2:18" ht="14.25" customHeight="1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2:18" ht="14.25" customHeight="1" x14ac:dyDescent="0.2"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2:18" ht="14.25" customHeight="1" x14ac:dyDescent="0.2"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2:18" ht="14.25" customHeight="1" x14ac:dyDescent="0.2"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2:18" ht="14.25" customHeight="1" x14ac:dyDescent="0.2"/>
    <row r="43" spans="2:18" ht="14.25" customHeight="1" x14ac:dyDescent="0.2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2:18" ht="14.25" customHeight="1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2:18" ht="14.25" customHeight="1" x14ac:dyDescent="0.2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2:18" ht="14.25" customHeight="1" x14ac:dyDescent="0.2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2:18" ht="14.25" customHeight="1" x14ac:dyDescent="0.2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2:18" ht="14.25" customHeight="1" x14ac:dyDescent="0.2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2:18" ht="14.25" customHeight="1" x14ac:dyDescent="0.2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2:18" ht="14.25" customHeight="1" x14ac:dyDescent="0.2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2:18" ht="14.25" customHeight="1" x14ac:dyDescent="0.2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2:18" ht="14.25" customHeight="1" x14ac:dyDescent="0.2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2:18" ht="14.25" customHeight="1" x14ac:dyDescent="0.2"/>
    <row r="54" spans="2:18" ht="14.25" customHeight="1" x14ac:dyDescent="0.2"/>
    <row r="55" spans="2:18" ht="14.25" customHeight="1" x14ac:dyDescent="0.2"/>
    <row r="56" spans="2:18" ht="14.25" customHeight="1" x14ac:dyDescent="0.2"/>
    <row r="57" spans="2:18" ht="14.25" customHeight="1" x14ac:dyDescent="0.2"/>
    <row r="58" spans="2:18" ht="14.25" customHeight="1" x14ac:dyDescent="0.2"/>
    <row r="59" spans="2:18" ht="14.25" customHeight="1" x14ac:dyDescent="0.2"/>
    <row r="60" spans="2:18" ht="14.25" customHeight="1" x14ac:dyDescent="0.2"/>
    <row r="61" spans="2:18" ht="14.25" customHeight="1" x14ac:dyDescent="0.2"/>
    <row r="62" spans="2:18" ht="14.25" customHeight="1" x14ac:dyDescent="0.2"/>
    <row r="63" spans="2:18" ht="14.25" customHeight="1" x14ac:dyDescent="0.2"/>
    <row r="64" spans="2:18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baseColWidth="10" defaultColWidth="12.6640625" defaultRowHeight="15" customHeight="1" x14ac:dyDescent="0.2"/>
  <cols>
    <col min="1" max="1" width="27.83203125" customWidth="1"/>
    <col min="2" max="2" width="25.1640625" customWidth="1"/>
    <col min="3" max="3" width="24.5" customWidth="1"/>
  </cols>
  <sheetData>
    <row r="1" spans="1:4" x14ac:dyDescent="0.2">
      <c r="A1" s="1" t="s">
        <v>49</v>
      </c>
      <c r="B1" s="1" t="s">
        <v>50</v>
      </c>
      <c r="C1" s="1" t="s">
        <v>51</v>
      </c>
      <c r="D1" s="1" t="s">
        <v>51</v>
      </c>
    </row>
    <row r="2" spans="1:4" x14ac:dyDescent="0.2">
      <c r="A2" s="3" t="s">
        <v>52</v>
      </c>
      <c r="B2" s="1" t="s">
        <v>53</v>
      </c>
      <c r="C2" s="1">
        <v>3734</v>
      </c>
      <c r="D2" s="1" t="s">
        <v>54</v>
      </c>
    </row>
    <row r="3" spans="1:4" x14ac:dyDescent="0.2">
      <c r="A3" s="1" t="s">
        <v>55</v>
      </c>
      <c r="B3" s="1" t="s">
        <v>56</v>
      </c>
      <c r="C3" s="1">
        <v>6365</v>
      </c>
      <c r="D3" s="1" t="s">
        <v>54</v>
      </c>
    </row>
    <row r="4" spans="1:4" x14ac:dyDescent="0.2">
      <c r="A4" s="3" t="s">
        <v>57</v>
      </c>
      <c r="B4" s="3" t="s">
        <v>58</v>
      </c>
      <c r="C4" s="3">
        <v>6267</v>
      </c>
      <c r="D4" s="1" t="s">
        <v>54</v>
      </c>
    </row>
    <row r="5" spans="1:4" x14ac:dyDescent="0.2">
      <c r="A5" s="3" t="s">
        <v>59</v>
      </c>
      <c r="B5" s="3" t="s">
        <v>60</v>
      </c>
      <c r="C5" s="3">
        <v>5029</v>
      </c>
      <c r="D5" s="1" t="s">
        <v>54</v>
      </c>
    </row>
    <row r="6" spans="1:4" x14ac:dyDescent="0.2">
      <c r="A6" s="3" t="s">
        <v>61</v>
      </c>
      <c r="B6" s="3" t="s">
        <v>60</v>
      </c>
      <c r="C6" s="3">
        <v>10794</v>
      </c>
      <c r="D6" s="1" t="s">
        <v>54</v>
      </c>
    </row>
    <row r="7" spans="1:4" x14ac:dyDescent="0.2">
      <c r="A7" s="3" t="s">
        <v>62</v>
      </c>
      <c r="B7" s="3" t="s">
        <v>60</v>
      </c>
      <c r="C7" s="3">
        <v>3356</v>
      </c>
      <c r="D7" s="1" t="s">
        <v>54</v>
      </c>
    </row>
    <row r="8" spans="1:4" x14ac:dyDescent="0.2">
      <c r="A8" s="1" t="s">
        <v>63</v>
      </c>
      <c r="B8" s="3" t="s">
        <v>60</v>
      </c>
      <c r="C8" s="3">
        <v>16348</v>
      </c>
      <c r="D8" s="1" t="s">
        <v>54</v>
      </c>
    </row>
    <row r="9" spans="1:4" x14ac:dyDescent="0.2">
      <c r="A9" s="3" t="s">
        <v>64</v>
      </c>
      <c r="B9" s="3" t="s">
        <v>65</v>
      </c>
      <c r="C9" s="3">
        <v>1528</v>
      </c>
      <c r="D9" s="1" t="s">
        <v>54</v>
      </c>
    </row>
    <row r="10" spans="1:4" x14ac:dyDescent="0.2">
      <c r="A10" s="3" t="s">
        <v>66</v>
      </c>
      <c r="B10" s="3" t="s">
        <v>65</v>
      </c>
      <c r="C10" s="3">
        <v>11009</v>
      </c>
      <c r="D10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lokasi 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Digitaloffice05679</dc:creator>
  <cp:lastModifiedBy>Muhammad Najmi Rahmani</cp:lastModifiedBy>
  <dcterms:created xsi:type="dcterms:W3CDTF">2025-11-28T07:59:29Z</dcterms:created>
  <dcterms:modified xsi:type="dcterms:W3CDTF">2026-09-15T11:18:43Z</dcterms:modified>
</cp:coreProperties>
</file>