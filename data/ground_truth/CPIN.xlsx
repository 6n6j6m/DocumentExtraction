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C53FCAEC-B403-3749-9F43-2EF716EF3A14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2" r:id="rId2"/>
    <sheet name="lokasi keb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B2" i="2"/>
  <c r="D2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Z21" i="1"/>
  <c r="Y21" i="1"/>
  <c r="X21" i="1"/>
  <c r="W21" i="1"/>
  <c r="V21" i="1"/>
  <c r="V20" i="1" s="1"/>
  <c r="U21" i="1"/>
  <c r="U20" i="1" s="1"/>
  <c r="T21" i="1"/>
  <c r="T20" i="1" s="1"/>
  <c r="S21" i="1"/>
  <c r="S20" i="1" s="1"/>
  <c r="R21" i="1"/>
  <c r="Q21" i="1"/>
  <c r="P21" i="1"/>
  <c r="O21" i="1"/>
  <c r="N21" i="1"/>
  <c r="M21" i="1"/>
  <c r="L21" i="1"/>
  <c r="L20" i="1" s="1"/>
  <c r="K21" i="1"/>
  <c r="K20" i="1" s="1"/>
  <c r="J21" i="1"/>
  <c r="J20" i="1" s="1"/>
  <c r="I21" i="1"/>
  <c r="I20" i="1" s="1"/>
  <c r="H21" i="1"/>
  <c r="G21" i="1"/>
  <c r="F21" i="1"/>
  <c r="E21" i="1"/>
  <c r="D21" i="1"/>
  <c r="C21" i="1"/>
  <c r="B21" i="1"/>
  <c r="B20" i="1" s="1"/>
  <c r="AA20" i="1"/>
  <c r="Z20" i="1"/>
  <c r="Y20" i="1"/>
  <c r="X20" i="1"/>
  <c r="W20" i="1"/>
  <c r="R20" i="1"/>
  <c r="Q20" i="1"/>
  <c r="P20" i="1"/>
  <c r="O20" i="1"/>
  <c r="N20" i="1"/>
  <c r="M20" i="1"/>
  <c r="H20" i="1"/>
  <c r="G20" i="1"/>
  <c r="F20" i="1"/>
  <c r="E20" i="1"/>
  <c r="D20" i="1"/>
  <c r="C20" i="1"/>
  <c r="X19" i="1"/>
  <c r="W19" i="1"/>
  <c r="V19" i="1"/>
  <c r="U19" i="1"/>
  <c r="T19" i="1"/>
  <c r="N19" i="1"/>
  <c r="M19" i="1"/>
  <c r="L19" i="1"/>
  <c r="K19" i="1"/>
  <c r="J19" i="1"/>
  <c r="D19" i="1"/>
  <c r="C19" i="1"/>
  <c r="B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Y19" i="1" s="1"/>
  <c r="X15" i="1"/>
  <c r="W15" i="1"/>
  <c r="V15" i="1"/>
  <c r="U15" i="1"/>
  <c r="T15" i="1"/>
  <c r="S15" i="1"/>
  <c r="S19" i="1" s="1"/>
  <c r="R15" i="1"/>
  <c r="R19" i="1" s="1"/>
  <c r="Q15" i="1"/>
  <c r="Q19" i="1" s="1"/>
  <c r="P15" i="1"/>
  <c r="P19" i="1" s="1"/>
  <c r="O15" i="1"/>
  <c r="O19" i="1" s="1"/>
  <c r="N15" i="1"/>
  <c r="M15" i="1"/>
  <c r="L15" i="1"/>
  <c r="K15" i="1"/>
  <c r="J15" i="1"/>
  <c r="I15" i="1"/>
  <c r="I19" i="1" s="1"/>
  <c r="H15" i="1"/>
  <c r="H19" i="1" s="1"/>
  <c r="G15" i="1"/>
  <c r="G19" i="1" s="1"/>
  <c r="F15" i="1"/>
  <c r="F19" i="1" s="1"/>
  <c r="E15" i="1"/>
  <c r="E19" i="1" s="1"/>
  <c r="D15" i="1"/>
  <c r="C15" i="1"/>
  <c r="B15" i="1"/>
</calcChain>
</file>

<file path=xl/sharedStrings.xml><?xml version="1.0" encoding="utf-8"?>
<sst xmlns="http://schemas.openxmlformats.org/spreadsheetml/2006/main" count="84" uniqueCount="71">
  <si>
    <t>(HANYA YANG BISA DIATRIBUSIKAN KE ENTITAS INDUK SAJA)</t>
  </si>
  <si>
    <t>CPIN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</si>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</sst>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7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9"/>
      <color rgb="FF000000"/>
      <name val="Helvetica"/>
      <family val="2"/>
    </font>
    <font>
      <sz val="8"/>
      <color rgb="FF000000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1" fontId="0" fillId="0" borderId="0" xfId="1" applyFont="1"/>
    <xf numFmtId="41" fontId="0" fillId="0" borderId="0" xfId="0" applyNumberForma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41" fontId="3" fillId="0" borderId="0" xfId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I1" activePane="topRight" state="frozen"/>
      <selection pane="topRight" activeCell="L46" sqref="L46:S55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33203125" bestFit="1" customWidth="1"/>
    <col min="9" max="9" width="19.5" customWidth="1"/>
    <col min="10" max="15" width="18.33203125" bestFit="1" customWidth="1"/>
    <col min="16" max="17" width="18.6640625" bestFit="1" customWidth="1"/>
    <col min="18" max="18" width="32.83203125" bestFit="1" customWidth="1"/>
    <col min="19" max="19" width="18.66406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0</v>
      </c>
      <c r="D1" s="4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18">
        <v>52380933000000</v>
      </c>
      <c r="C4" s="18">
        <v>48484558000000</v>
      </c>
      <c r="D4" s="18">
        <v>45857963000000</v>
      </c>
      <c r="E4" s="18">
        <v>43716001000000</v>
      </c>
      <c r="F4" s="18">
        <v>43149273000000</v>
      </c>
      <c r="G4" s="18">
        <v>43765363000000</v>
      </c>
      <c r="H4" s="18">
        <v>42791000000000</v>
      </c>
      <c r="I4" s="18">
        <v>42924264000000</v>
      </c>
      <c r="J4" s="18">
        <v>42659855000000</v>
      </c>
      <c r="K4" s="18">
        <v>43539708000000</v>
      </c>
      <c r="L4" s="18">
        <v>40970800000000</v>
      </c>
      <c r="M4" s="18">
        <v>41939307000000</v>
      </c>
      <c r="N4" s="18">
        <v>42905903000000</v>
      </c>
      <c r="O4" s="18">
        <v>41348448000000</v>
      </c>
      <c r="P4" s="18">
        <v>39847545000000</v>
      </c>
      <c r="Q4" s="18">
        <v>39592234000000</v>
      </c>
      <c r="R4" s="18">
        <v>39091367000000</v>
      </c>
      <c r="S4" s="18">
        <v>36388076000000</v>
      </c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18">
        <v>30932743000000</v>
      </c>
      <c r="C5" s="18">
        <v>27530222000000</v>
      </c>
      <c r="D5" s="18">
        <v>24630760000000</v>
      </c>
      <c r="E5" s="18">
        <v>22325382000000</v>
      </c>
      <c r="F5" s="18">
        <v>21712537000000</v>
      </c>
      <c r="G5" s="18">
        <v>22408711000000</v>
      </c>
      <c r="H5" s="18">
        <v>21339691000000</v>
      </c>
      <c r="I5" s="18">
        <v>20815703000000</v>
      </c>
      <c r="J5" s="18">
        <v>20733857000000</v>
      </c>
      <c r="K5" s="18">
        <v>21052006000000</v>
      </c>
      <c r="L5" s="18">
        <v>18324808000000</v>
      </c>
      <c r="M5" s="18">
        <v>19670037000000</v>
      </c>
      <c r="N5" s="18">
        <v>20696949000000</v>
      </c>
      <c r="O5" s="18">
        <v>19083485000000</v>
      </c>
      <c r="P5" s="18">
        <v>18031436000000</v>
      </c>
      <c r="Q5" s="18">
        <v>18738409000000</v>
      </c>
      <c r="R5" s="18">
        <v>18680838000000</v>
      </c>
      <c r="S5" s="18">
        <v>16238682000000</v>
      </c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18">
        <v>5368132000000</v>
      </c>
      <c r="C6" s="18">
        <v>7432291000000</v>
      </c>
      <c r="D6" s="18">
        <v>4460703000000</v>
      </c>
      <c r="E6" s="18">
        <v>4186323000000</v>
      </c>
      <c r="F6" s="18">
        <v>3381678000000</v>
      </c>
      <c r="G6" s="18">
        <v>5773705000000</v>
      </c>
      <c r="H6" s="18">
        <v>4446488000000</v>
      </c>
      <c r="I6" s="18">
        <v>3300803000000</v>
      </c>
      <c r="J6" s="18">
        <v>2117225000000</v>
      </c>
      <c r="K6" s="18">
        <v>1758081000000</v>
      </c>
      <c r="L6" s="18">
        <v>2328025000000</v>
      </c>
      <c r="M6" s="18">
        <v>3246510000000</v>
      </c>
      <c r="N6" s="18">
        <v>1601706000000</v>
      </c>
      <c r="O6" s="18">
        <v>1519261000000</v>
      </c>
      <c r="P6" s="18">
        <v>2041946000000</v>
      </c>
      <c r="Q6" s="18">
        <v>1580326000000</v>
      </c>
      <c r="R6" s="18">
        <v>1742608000000</v>
      </c>
      <c r="S6" s="18">
        <v>2110845000000</v>
      </c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18">
        <v>17469626000000</v>
      </c>
      <c r="C7" s="18">
        <v>11753661000000</v>
      </c>
      <c r="D7" s="18">
        <v>11706869000000</v>
      </c>
      <c r="E7" s="18">
        <v>11811932000000</v>
      </c>
      <c r="F7" s="18">
        <v>12714801000000</v>
      </c>
      <c r="G7" s="18">
        <v>11938263000000</v>
      </c>
      <c r="H7" s="18">
        <v>12502078000000</v>
      </c>
      <c r="I7" s="18">
        <v>13985027000000</v>
      </c>
      <c r="J7" s="18">
        <v>14344296000000</v>
      </c>
      <c r="K7" s="18">
        <v>15799984000000</v>
      </c>
      <c r="L7" s="18">
        <v>13942042000000</v>
      </c>
      <c r="M7" s="18">
        <v>12922344000000</v>
      </c>
      <c r="N7" s="18">
        <v>15190579000000</v>
      </c>
      <c r="O7" s="18">
        <v>14780597000000</v>
      </c>
      <c r="P7" s="18">
        <v>13520331000000</v>
      </c>
      <c r="Q7" s="18">
        <v>13031126000000</v>
      </c>
      <c r="R7" s="18">
        <v>13298202000000</v>
      </c>
      <c r="S7" s="18">
        <v>10047117000000</v>
      </c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18">
        <v>4832090000000</v>
      </c>
      <c r="C8" s="18">
        <v>3030000000000</v>
      </c>
      <c r="D8" s="18">
        <v>3480000000000</v>
      </c>
      <c r="E8" s="18">
        <v>4250000000000</v>
      </c>
      <c r="F8" s="18">
        <v>4777353000000</v>
      </c>
      <c r="G8" s="18">
        <v>4400000000000</v>
      </c>
      <c r="H8" s="18">
        <v>7392848000000</v>
      </c>
      <c r="I8" s="18">
        <v>6575000000000</v>
      </c>
      <c r="J8" s="18">
        <v>7550000000000</v>
      </c>
      <c r="K8" s="18">
        <v>8946010000000</v>
      </c>
      <c r="L8" s="18">
        <v>7392848000000</v>
      </c>
      <c r="M8" s="18">
        <v>6900000000000</v>
      </c>
      <c r="N8" s="18">
        <v>7744540000000</v>
      </c>
      <c r="O8" s="18">
        <v>7248987000000</v>
      </c>
      <c r="P8" s="18">
        <v>6649216000000</v>
      </c>
      <c r="Q8" s="18">
        <v>5697558000000</v>
      </c>
      <c r="R8" s="18">
        <v>6713661000000</v>
      </c>
      <c r="S8" s="18">
        <v>4299315000000</v>
      </c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18">
        <v>34897180000000</v>
      </c>
      <c r="C9" s="18">
        <v>36716366000000</v>
      </c>
      <c r="D9" s="18">
        <v>34136370000000</v>
      </c>
      <c r="E9" s="18">
        <v>31885954000000</v>
      </c>
      <c r="F9" s="18">
        <v>30415323000000</v>
      </c>
      <c r="G9" s="18">
        <v>31810990000000</v>
      </c>
      <c r="H9" s="18">
        <v>30273959000000</v>
      </c>
      <c r="I9" s="18">
        <v>28923270000000</v>
      </c>
      <c r="J9" s="18">
        <v>28299245000000</v>
      </c>
      <c r="K9" s="18">
        <v>27723535000000</v>
      </c>
      <c r="L9" s="18">
        <v>27012497000000</v>
      </c>
      <c r="M9" s="18">
        <v>29001098000000</v>
      </c>
      <c r="N9" s="18">
        <v>27699370000000</v>
      </c>
      <c r="O9" s="18">
        <v>26551465000000</v>
      </c>
      <c r="P9" s="18">
        <v>26310473000000</v>
      </c>
      <c r="Q9" s="18">
        <v>26544080000000</v>
      </c>
      <c r="R9" s="18">
        <v>25777277000000</v>
      </c>
      <c r="S9" s="18">
        <v>26326553000000</v>
      </c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18">
        <v>3708330000000</v>
      </c>
      <c r="C10" s="18">
        <v>2577936000000</v>
      </c>
      <c r="D10" s="18">
        <v>5643863000000</v>
      </c>
      <c r="E10" s="18">
        <v>3365043000000</v>
      </c>
      <c r="F10" s="18">
        <v>1900390000000</v>
      </c>
      <c r="G10" s="18">
        <v>1537031000000</v>
      </c>
      <c r="H10" s="18">
        <v>3712926000000</v>
      </c>
      <c r="I10" s="18">
        <v>2386802000000</v>
      </c>
      <c r="J10" s="18">
        <v>1768080000000</v>
      </c>
      <c r="K10" s="18">
        <v>711038000000</v>
      </c>
      <c r="L10" s="18">
        <v>2318584000000</v>
      </c>
      <c r="M10" s="18">
        <v>2675589000000</v>
      </c>
      <c r="N10" s="18">
        <v>1378873000000</v>
      </c>
      <c r="O10" s="18">
        <v>240992000000</v>
      </c>
      <c r="P10" s="18">
        <v>2928342000000</v>
      </c>
      <c r="Q10" s="18">
        <v>3185800000000</v>
      </c>
      <c r="R10" s="18">
        <v>2416989000000</v>
      </c>
      <c r="S10" s="18">
        <v>1191265000000</v>
      </c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18">
        <v>39418494000000</v>
      </c>
      <c r="C11" s="18">
        <v>19952120000000</v>
      </c>
      <c r="D11" s="18">
        <v>70704988000000</v>
      </c>
      <c r="E11" s="18">
        <v>50604542000000</v>
      </c>
      <c r="F11" s="18">
        <v>33061683000000</v>
      </c>
      <c r="G11" s="18">
        <v>17704697000000</v>
      </c>
      <c r="H11" s="18">
        <v>67477992000000</v>
      </c>
      <c r="I11" s="18">
        <v>49718726000000</v>
      </c>
      <c r="J11" s="18">
        <v>32961973000000</v>
      </c>
      <c r="K11" s="18">
        <v>15912620000000</v>
      </c>
      <c r="L11" s="18">
        <v>61615850000000</v>
      </c>
      <c r="M11" s="18">
        <v>47128673000000</v>
      </c>
      <c r="N11" s="18">
        <v>30891883000000</v>
      </c>
      <c r="O11" s="18">
        <v>14564094000000</v>
      </c>
      <c r="P11" s="18">
        <v>56867544000000</v>
      </c>
      <c r="Q11" s="18">
        <v>43438698000000</v>
      </c>
      <c r="R11" s="18">
        <v>28637323000000</v>
      </c>
      <c r="S11" s="18">
        <v>14295430000000</v>
      </c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18">
        <v>1726556000000</v>
      </c>
      <c r="C12" s="18">
        <v>3437602000000</v>
      </c>
      <c r="D12" s="18">
        <v>5773901000000</v>
      </c>
      <c r="E12" s="18">
        <v>4015120000000</v>
      </c>
      <c r="F12" s="18">
        <v>2133968000000</v>
      </c>
      <c r="G12" s="18">
        <v>2598615000000</v>
      </c>
      <c r="H12" s="18">
        <v>4305814000000</v>
      </c>
      <c r="I12" s="18">
        <v>2068139000000</v>
      </c>
      <c r="J12" s="18">
        <v>656571000000</v>
      </c>
      <c r="K12" s="18">
        <v>-1697247000000</v>
      </c>
      <c r="L12" s="18">
        <v>3146254000000</v>
      </c>
      <c r="M12" s="18">
        <v>2498307000000</v>
      </c>
      <c r="N12" s="18">
        <v>-695920000000</v>
      </c>
      <c r="O12" s="18">
        <v>-503234000000</v>
      </c>
      <c r="P12" s="18">
        <v>1673887000000</v>
      </c>
      <c r="Q12" s="18">
        <v>358432000000</v>
      </c>
      <c r="R12" s="18">
        <v>288688000000</v>
      </c>
      <c r="S12" s="18">
        <v>1238530000000</v>
      </c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18">
        <v>16398000000</v>
      </c>
      <c r="C13" s="18">
        <v>16398000000</v>
      </c>
      <c r="D13" s="18">
        <v>16398000000</v>
      </c>
      <c r="E13" s="18">
        <v>16398000000</v>
      </c>
      <c r="F13" s="18">
        <v>16398000000</v>
      </c>
      <c r="G13" s="18">
        <v>16398000000</v>
      </c>
      <c r="H13" s="18">
        <v>16398000000</v>
      </c>
      <c r="I13" s="18">
        <v>16398000000</v>
      </c>
      <c r="J13" s="18">
        <v>16398000000</v>
      </c>
      <c r="K13" s="18">
        <v>16398000000</v>
      </c>
      <c r="L13" s="18">
        <v>16398000000</v>
      </c>
      <c r="M13" s="18">
        <v>16398000000</v>
      </c>
      <c r="N13" s="18">
        <v>16398000000</v>
      </c>
      <c r="O13" s="18">
        <v>16398000000</v>
      </c>
      <c r="P13" s="18">
        <v>16398000000</v>
      </c>
      <c r="Q13" s="18">
        <v>16398000000</v>
      </c>
      <c r="R13" s="18">
        <v>16398000000</v>
      </c>
      <c r="S13" s="18">
        <v>16398000000</v>
      </c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3010</v>
      </c>
      <c r="C14" s="4">
        <v>3350</v>
      </c>
      <c r="D14" s="4">
        <v>4200</v>
      </c>
      <c r="E14" s="4">
        <v>4610</v>
      </c>
      <c r="F14" s="4">
        <v>4440</v>
      </c>
      <c r="G14" s="4">
        <v>4860</v>
      </c>
      <c r="H14" s="5">
        <v>4930</v>
      </c>
      <c r="I14" s="5">
        <v>4760</v>
      </c>
      <c r="J14" s="5">
        <v>5150</v>
      </c>
      <c r="K14" s="5">
        <v>4820</v>
      </c>
      <c r="L14" s="5">
        <v>5275</v>
      </c>
      <c r="M14" s="5">
        <v>5500</v>
      </c>
      <c r="N14" s="5">
        <v>5275</v>
      </c>
      <c r="O14" s="5">
        <v>5200</v>
      </c>
      <c r="P14" s="5">
        <v>5000</v>
      </c>
      <c r="Q14" s="5">
        <v>5750</v>
      </c>
      <c r="R14" s="5">
        <v>5700</v>
      </c>
      <c r="S14" s="5">
        <v>5025</v>
      </c>
      <c r="T14" s="5">
        <v>4930</v>
      </c>
      <c r="U14" s="7">
        <v>6000</v>
      </c>
      <c r="V14" s="7">
        <v>6325</v>
      </c>
      <c r="W14" s="4">
        <v>6400</v>
      </c>
      <c r="X14" s="7">
        <v>6400</v>
      </c>
      <c r="Y14" s="7">
        <v>6700</v>
      </c>
      <c r="Z14" s="7">
        <v>6375</v>
      </c>
      <c r="AA14" s="7">
        <v>5950</v>
      </c>
    </row>
    <row r="15" spans="1:27" ht="14.25" customHeight="1" x14ac:dyDescent="0.2">
      <c r="A15" s="8" t="s">
        <v>41</v>
      </c>
      <c r="B15" s="6">
        <f t="shared" ref="B15:AA15" si="0">B9/B13</f>
        <v>2128.1363580924503</v>
      </c>
      <c r="C15" s="6">
        <f t="shared" si="0"/>
        <v>2239.075862910111</v>
      </c>
      <c r="D15" s="6">
        <f t="shared" si="0"/>
        <v>2081.7398463227223</v>
      </c>
      <c r="E15" s="6">
        <f t="shared" si="0"/>
        <v>1944.5026222710087</v>
      </c>
      <c r="F15" s="6">
        <f t="shared" si="0"/>
        <v>1854.8190633004024</v>
      </c>
      <c r="G15" s="6">
        <f t="shared" si="0"/>
        <v>1939.9310891572143</v>
      </c>
      <c r="H15" s="6">
        <f t="shared" si="0"/>
        <v>1846.198255884864</v>
      </c>
      <c r="I15" s="6">
        <f t="shared" si="0"/>
        <v>1763.8291255031102</v>
      </c>
      <c r="J15" s="6">
        <f t="shared" si="0"/>
        <v>1725.7741797780218</v>
      </c>
      <c r="K15" s="6">
        <f t="shared" si="0"/>
        <v>1690.6656299548727</v>
      </c>
      <c r="L15" s="6">
        <f t="shared" si="0"/>
        <v>1647.3043663861447</v>
      </c>
      <c r="M15" s="6">
        <f t="shared" si="0"/>
        <v>1768.5753140626905</v>
      </c>
      <c r="N15" s="6">
        <f t="shared" si="0"/>
        <v>1689.1919746310525</v>
      </c>
      <c r="O15" s="6">
        <f t="shared" si="0"/>
        <v>1619.1892303939505</v>
      </c>
      <c r="P15" s="6">
        <f t="shared" si="0"/>
        <v>1604.4928040004879</v>
      </c>
      <c r="Q15" s="6">
        <f t="shared" si="0"/>
        <v>1618.738870593975</v>
      </c>
      <c r="R15" s="6">
        <f t="shared" si="0"/>
        <v>1571.9768874252957</v>
      </c>
      <c r="S15" s="6">
        <f t="shared" si="0"/>
        <v>1605.4734113916331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13463117000000</v>
      </c>
      <c r="C16" s="6">
        <f t="shared" si="1"/>
        <v>15776561000000</v>
      </c>
      <c r="D16" s="6">
        <f t="shared" si="1"/>
        <v>12923891000000</v>
      </c>
      <c r="E16" s="6">
        <f t="shared" si="1"/>
        <v>10513450000000</v>
      </c>
      <c r="F16" s="6">
        <f t="shared" si="1"/>
        <v>8997736000000</v>
      </c>
      <c r="G16" s="6">
        <f t="shared" si="1"/>
        <v>10470448000000</v>
      </c>
      <c r="H16" s="6">
        <f t="shared" si="1"/>
        <v>8837613000000</v>
      </c>
      <c r="I16" s="6">
        <f t="shared" si="1"/>
        <v>6830676000000</v>
      </c>
      <c r="J16" s="6">
        <f t="shared" si="1"/>
        <v>6389561000000</v>
      </c>
      <c r="K16" s="6">
        <f t="shared" si="1"/>
        <v>5252022000000</v>
      </c>
      <c r="L16" s="6">
        <f t="shared" si="1"/>
        <v>4382766000000</v>
      </c>
      <c r="M16" s="6">
        <f t="shared" si="1"/>
        <v>6747693000000</v>
      </c>
      <c r="N16" s="6">
        <f t="shared" si="1"/>
        <v>5506370000000</v>
      </c>
      <c r="O16" s="6">
        <f t="shared" si="1"/>
        <v>4302888000000</v>
      </c>
      <c r="P16" s="6">
        <f t="shared" si="1"/>
        <v>4511105000000</v>
      </c>
      <c r="Q16" s="6">
        <f t="shared" si="1"/>
        <v>5707283000000</v>
      </c>
      <c r="R16" s="6">
        <f t="shared" si="1"/>
        <v>5382636000000</v>
      </c>
      <c r="S16" s="6">
        <f t="shared" si="1"/>
        <v>6191565000000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7.0795417103395236E-2</v>
      </c>
      <c r="C17" s="10">
        <f t="shared" si="2"/>
        <v>5.3170248556251666E-2</v>
      </c>
      <c r="D17" s="10">
        <f t="shared" si="2"/>
        <v>0.12307269295847266</v>
      </c>
      <c r="E17" s="10">
        <f t="shared" si="2"/>
        <v>7.6975087451388799E-2</v>
      </c>
      <c r="F17" s="10">
        <f t="shared" si="2"/>
        <v>4.4042225230538648E-2</v>
      </c>
      <c r="G17" s="10">
        <f t="shared" si="2"/>
        <v>3.5119804672932797E-2</v>
      </c>
      <c r="H17" s="10">
        <f t="shared" si="2"/>
        <v>8.6768853263536727E-2</v>
      </c>
      <c r="I17" s="10">
        <f t="shared" si="2"/>
        <v>5.5604960401883653E-2</v>
      </c>
      <c r="J17" s="10">
        <f t="shared" si="2"/>
        <v>4.1445991787829567E-2</v>
      </c>
      <c r="K17" s="10">
        <f t="shared" si="2"/>
        <v>1.6330793950202881E-2</v>
      </c>
      <c r="L17" s="10">
        <f t="shared" si="2"/>
        <v>5.6591133197301489E-2</v>
      </c>
      <c r="M17" s="10">
        <f t="shared" si="2"/>
        <v>6.3796690775076464E-2</v>
      </c>
      <c r="N17" s="10">
        <f t="shared" si="2"/>
        <v>3.2137139731099475E-2</v>
      </c>
      <c r="O17" s="10">
        <f t="shared" si="2"/>
        <v>5.8283203277665948E-3</v>
      </c>
      <c r="P17" s="10">
        <f t="shared" si="2"/>
        <v>7.3488642775859842E-2</v>
      </c>
      <c r="Q17" s="10">
        <f t="shared" si="2"/>
        <v>8.0465275083997534E-2</v>
      </c>
      <c r="R17" s="10">
        <f t="shared" si="2"/>
        <v>6.1829226898102593E-2</v>
      </c>
      <c r="S17" s="10">
        <f t="shared" si="2"/>
        <v>3.2737784762239146E-2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0.10626446033748285</v>
      </c>
      <c r="C18" s="10">
        <f t="shared" si="3"/>
        <v>7.0212177316240937E-2</v>
      </c>
      <c r="D18" s="10">
        <f t="shared" si="3"/>
        <v>0.16533284001784607</v>
      </c>
      <c r="E18" s="10">
        <f t="shared" si="3"/>
        <v>0.10553370929406722</v>
      </c>
      <c r="F18" s="10">
        <f t="shared" si="3"/>
        <v>6.2481335476858163E-2</v>
      </c>
      <c r="G18" s="10">
        <f t="shared" si="3"/>
        <v>4.8317609731731076E-2</v>
      </c>
      <c r="H18" s="10">
        <f t="shared" si="3"/>
        <v>0.12264421709760524</v>
      </c>
      <c r="I18" s="10">
        <f t="shared" si="3"/>
        <v>8.2521858697166675E-2</v>
      </c>
      <c r="J18" s="10">
        <f t="shared" si="3"/>
        <v>6.2477991904024296E-2</v>
      </c>
      <c r="K18" s="10">
        <f t="shared" si="3"/>
        <v>2.5647450803081208E-2</v>
      </c>
      <c r="L18" s="10">
        <f t="shared" si="3"/>
        <v>8.5833753169875404E-2</v>
      </c>
      <c r="M18" s="10">
        <f t="shared" si="3"/>
        <v>9.2258196568971287E-2</v>
      </c>
      <c r="N18" s="10">
        <f t="shared" si="3"/>
        <v>4.9779940843419905E-2</v>
      </c>
      <c r="O18" s="10">
        <f t="shared" si="3"/>
        <v>9.0764106613326241E-3</v>
      </c>
      <c r="P18" s="10">
        <f t="shared" si="3"/>
        <v>0.11129948138902709</v>
      </c>
      <c r="Q18" s="10">
        <f t="shared" si="3"/>
        <v>0.12001922839292227</v>
      </c>
      <c r="R18" s="10">
        <f t="shared" si="3"/>
        <v>9.3764325844036975E-2</v>
      </c>
      <c r="S18" s="10">
        <f t="shared" si="3"/>
        <v>4.5249562295527256E-2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1.414383053301155</v>
      </c>
      <c r="C19" s="11">
        <f t="shared" si="4"/>
        <v>1.4961529689512301</v>
      </c>
      <c r="D19" s="11">
        <f t="shared" si="4"/>
        <v>2.0175431658374925</v>
      </c>
      <c r="E19" s="11">
        <f t="shared" si="4"/>
        <v>2.3707862088742897</v>
      </c>
      <c r="F19" s="11">
        <f t="shared" si="4"/>
        <v>2.3937644850919386</v>
      </c>
      <c r="G19" s="11">
        <f t="shared" si="4"/>
        <v>2.5052436280669039</v>
      </c>
      <c r="H19" s="11">
        <f t="shared" si="4"/>
        <v>2.6703524306153681</v>
      </c>
      <c r="I19" s="11">
        <f t="shared" si="4"/>
        <v>2.698674112574408</v>
      </c>
      <c r="J19" s="11">
        <f t="shared" si="4"/>
        <v>2.9841679521838831</v>
      </c>
      <c r="K19" s="11">
        <f t="shared" si="4"/>
        <v>2.8509481204326934</v>
      </c>
      <c r="L19" s="11">
        <f t="shared" si="4"/>
        <v>3.2022011885831954</v>
      </c>
      <c r="M19" s="11">
        <f t="shared" si="4"/>
        <v>3.1098477719705651</v>
      </c>
      <c r="N19" s="11">
        <f t="shared" si="4"/>
        <v>3.1227948505688037</v>
      </c>
      <c r="O19" s="11">
        <f t="shared" si="4"/>
        <v>3.211483810780309</v>
      </c>
      <c r="P19" s="11">
        <f t="shared" si="4"/>
        <v>3.1162495634343022</v>
      </c>
      <c r="Q19" s="11">
        <f t="shared" si="4"/>
        <v>3.5521479742375699</v>
      </c>
      <c r="R19" s="11">
        <f t="shared" si="4"/>
        <v>3.6260075104131442</v>
      </c>
      <c r="S19" s="11">
        <f t="shared" si="4"/>
        <v>3.1299179197519704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13.310029042722736</v>
      </c>
      <c r="C20" s="11">
        <f t="shared" si="5"/>
        <v>21.309023963356733</v>
      </c>
      <c r="D20" s="11">
        <f t="shared" si="5"/>
        <v>12.202918462053384</v>
      </c>
      <c r="E20" s="11">
        <f t="shared" si="5"/>
        <v>22.46472927686214</v>
      </c>
      <c r="F20" s="11">
        <f t="shared" si="5"/>
        <v>38.311672867148324</v>
      </c>
      <c r="G20" s="11">
        <f t="shared" si="5"/>
        <v>51.849494252230436</v>
      </c>
      <c r="H20" s="11">
        <f t="shared" si="5"/>
        <v>21.773162190681958</v>
      </c>
      <c r="I20" s="11">
        <f t="shared" si="5"/>
        <v>32.702536699734623</v>
      </c>
      <c r="J20" s="11">
        <f t="shared" si="5"/>
        <v>47.763506176191122</v>
      </c>
      <c r="K20" s="11">
        <f t="shared" si="5"/>
        <v>111.15912229726119</v>
      </c>
      <c r="L20" s="11">
        <f t="shared" si="5"/>
        <v>37.307015833802012</v>
      </c>
      <c r="M20" s="11">
        <f t="shared" si="5"/>
        <v>33.708091937887325</v>
      </c>
      <c r="N20" s="11">
        <f t="shared" si="5"/>
        <v>62.731991996362247</v>
      </c>
      <c r="O20" s="11">
        <f t="shared" si="5"/>
        <v>353.82751294648784</v>
      </c>
      <c r="P20" s="11">
        <f t="shared" si="5"/>
        <v>27.998778831161115</v>
      </c>
      <c r="Q20" s="11">
        <f t="shared" si="5"/>
        <v>29.596490677380878</v>
      </c>
      <c r="R20" s="11">
        <f t="shared" si="5"/>
        <v>38.671504090419944</v>
      </c>
      <c r="S20" s="11">
        <f t="shared" si="5"/>
        <v>69.170125874595499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 t="shared" ref="B21:AA21" si="6">B10/B13</f>
        <v>226.14526161727039</v>
      </c>
      <c r="C21" s="6">
        <f t="shared" si="6"/>
        <v>157.21039151115988</v>
      </c>
      <c r="D21" s="6">
        <f t="shared" si="6"/>
        <v>344.17996097085012</v>
      </c>
      <c r="E21" s="6">
        <f t="shared" si="6"/>
        <v>205.21057446030002</v>
      </c>
      <c r="F21" s="6">
        <f t="shared" si="6"/>
        <v>115.89157214294426</v>
      </c>
      <c r="G21" s="6">
        <f t="shared" si="6"/>
        <v>93.732833272350291</v>
      </c>
      <c r="H21" s="6">
        <f t="shared" si="6"/>
        <v>226.42553969996342</v>
      </c>
      <c r="I21" s="6">
        <f t="shared" si="6"/>
        <v>145.55445786071473</v>
      </c>
      <c r="J21" s="6">
        <f t="shared" si="6"/>
        <v>107.82290523234541</v>
      </c>
      <c r="K21" s="6">
        <f t="shared" si="6"/>
        <v>43.361263568727892</v>
      </c>
      <c r="L21" s="6">
        <f t="shared" si="6"/>
        <v>141.39431638004635</v>
      </c>
      <c r="M21" s="6">
        <f t="shared" si="6"/>
        <v>163.16556897182582</v>
      </c>
      <c r="N21" s="6">
        <f t="shared" si="6"/>
        <v>84.087876570313455</v>
      </c>
      <c r="O21" s="6">
        <f t="shared" si="6"/>
        <v>14.696426393462618</v>
      </c>
      <c r="P21" s="6">
        <f t="shared" si="6"/>
        <v>178.5792169776802</v>
      </c>
      <c r="Q21" s="6">
        <f t="shared" si="6"/>
        <v>194.27979021831931</v>
      </c>
      <c r="R21" s="6">
        <f t="shared" si="6"/>
        <v>147.39535309184046</v>
      </c>
      <c r="S21" s="6">
        <f t="shared" si="6"/>
        <v>72.646969142578357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0.50060279942390762</v>
      </c>
      <c r="C22" s="10">
        <f t="shared" si="7"/>
        <v>0.3201204879589663</v>
      </c>
      <c r="D22" s="10">
        <f t="shared" si="7"/>
        <v>0.34294416776007525</v>
      </c>
      <c r="E22" s="10">
        <f t="shared" si="7"/>
        <v>0.37044311109524902</v>
      </c>
      <c r="F22" s="10">
        <f t="shared" si="7"/>
        <v>0.41803932182472631</v>
      </c>
      <c r="G22" s="10">
        <f t="shared" si="7"/>
        <v>0.37528737709829213</v>
      </c>
      <c r="H22" s="10">
        <f t="shared" si="7"/>
        <v>0.41296475297466051</v>
      </c>
      <c r="I22" s="10">
        <f t="shared" si="7"/>
        <v>0.48352164191669889</v>
      </c>
      <c r="J22" s="10">
        <f t="shared" si="7"/>
        <v>0.50687910578533102</v>
      </c>
      <c r="K22" s="10">
        <f t="shared" si="7"/>
        <v>0.56991231457315961</v>
      </c>
      <c r="L22" s="10">
        <f t="shared" si="7"/>
        <v>0.5161330327958944</v>
      </c>
      <c r="M22" s="10">
        <f t="shared" si="7"/>
        <v>0.44558119833945597</v>
      </c>
      <c r="N22" s="10">
        <f t="shared" si="7"/>
        <v>0.54840882662674273</v>
      </c>
      <c r="O22" s="10">
        <f t="shared" si="7"/>
        <v>0.55667726809048013</v>
      </c>
      <c r="P22" s="10">
        <f t="shared" si="7"/>
        <v>0.51387639439245358</v>
      </c>
      <c r="Q22" s="10">
        <f t="shared" si="7"/>
        <v>0.49092400264013669</v>
      </c>
      <c r="R22" s="10">
        <f t="shared" si="7"/>
        <v>0.51588854788657468</v>
      </c>
      <c r="S22" s="10">
        <f t="shared" si="7"/>
        <v>0.38163435220706637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7" ht="14.25" customHeight="1" x14ac:dyDescent="0.2"/>
    <row r="26" spans="1:27" ht="14.25" customHeight="1" x14ac:dyDescent="0.2"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7" ht="14.2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7" ht="14.25" customHeight="1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7" ht="14.25" customHeight="1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7" ht="14.25" customHeight="1" x14ac:dyDescent="0.2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27" ht="14.2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27" ht="14.2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2:19" ht="14.2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2:19" ht="14.2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2:19" ht="14.2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9" ht="14.25" customHeight="1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2:19" ht="14.25" customHeight="1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2:19" ht="14.25" customHeight="1" x14ac:dyDescent="0.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2:19" ht="14.25" customHeight="1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9" ht="14.25" customHeight="1" x14ac:dyDescent="0.2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2:19" ht="14.25" customHeight="1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2:19" ht="14.25" customHeight="1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2:19" ht="14.25" customHeight="1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2:19" ht="14.25" customHeight="1" x14ac:dyDescent="0.2"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2:19" ht="14.25" customHeight="1" x14ac:dyDescent="0.2"/>
    <row r="46" spans="2:19" ht="14.25" customHeight="1" x14ac:dyDescent="0.2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2:19" ht="14.25" customHeight="1" x14ac:dyDescent="0.2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2:19" ht="14.25" customHeight="1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2:19" ht="14.25" customHeight="1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2:19" ht="14.25" customHeight="1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2:19" ht="14.25" customHeight="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2:19" ht="14.25" customHeight="1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2:19" ht="14.25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2:19" ht="14.25" customHeight="1" x14ac:dyDescent="0.2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2:19" ht="14.25" customHeight="1" x14ac:dyDescent="0.2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2:19" ht="14.25" customHeight="1" x14ac:dyDescent="0.2"/>
    <row r="57" spans="2:19" ht="14.25" customHeight="1" x14ac:dyDescent="0.2"/>
    <row r="58" spans="2:19" ht="14.25" customHeight="1" x14ac:dyDescent="0.2"/>
    <row r="59" spans="2:19" ht="14.25" customHeight="1" x14ac:dyDescent="0.2"/>
    <row r="60" spans="2:19" ht="14.25" customHeight="1" x14ac:dyDescent="0.2"/>
    <row r="61" spans="2:19" ht="14.25" customHeight="1" x14ac:dyDescent="0.2"/>
    <row r="62" spans="2:19" ht="14.25" customHeight="1" x14ac:dyDescent="0.2"/>
    <row r="63" spans="2:19" ht="14.25" customHeight="1" x14ac:dyDescent="0.2"/>
    <row r="64" spans="2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8" width="17.33203125" bestFit="1" customWidth="1"/>
  </cols>
  <sheetData>
    <row r="1" spans="1:8" x14ac:dyDescent="0.2">
      <c r="A1" t="s">
        <v>49</v>
      </c>
      <c r="B1" t="s">
        <v>50</v>
      </c>
      <c r="C1" t="s">
        <v>51</v>
      </c>
      <c r="D1" t="s">
        <v>52</v>
      </c>
    </row>
    <row r="2" spans="1:8" x14ac:dyDescent="0.2">
      <c r="A2" s="14">
        <v>6.7299999999999999E-2</v>
      </c>
      <c r="B2">
        <f>1000/A2</f>
        <v>14858.841010401189</v>
      </c>
      <c r="C2" s="15">
        <v>247029168</v>
      </c>
      <c r="D2" s="12">
        <f>B2*C2</f>
        <v>3670567132243.6851</v>
      </c>
      <c r="F2" s="16">
        <v>3868963000000</v>
      </c>
      <c r="G2" s="16">
        <v>555246000000</v>
      </c>
      <c r="H2" s="13">
        <f>F2+G2</f>
        <v>4424209000000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55</v>
      </c>
    </row>
    <row r="2" spans="1:4" x14ac:dyDescent="0.2">
      <c r="A2" s="3" t="s">
        <v>56</v>
      </c>
      <c r="B2" s="1" t="s">
        <v>57</v>
      </c>
      <c r="C2" s="1">
        <v>3734</v>
      </c>
      <c r="D2" s="1" t="s">
        <v>58</v>
      </c>
    </row>
    <row r="3" spans="1:4" x14ac:dyDescent="0.2">
      <c r="A3" s="1" t="s">
        <v>59</v>
      </c>
      <c r="B3" s="1" t="s">
        <v>60</v>
      </c>
      <c r="C3" s="1">
        <v>6365</v>
      </c>
      <c r="D3" s="1" t="s">
        <v>58</v>
      </c>
    </row>
    <row r="4" spans="1:4" x14ac:dyDescent="0.2">
      <c r="A4" s="3" t="s">
        <v>61</v>
      </c>
      <c r="B4" s="3" t="s">
        <v>62</v>
      </c>
      <c r="C4" s="3">
        <v>6267</v>
      </c>
      <c r="D4" s="1" t="s">
        <v>58</v>
      </c>
    </row>
    <row r="5" spans="1:4" x14ac:dyDescent="0.2">
      <c r="A5" s="3" t="s">
        <v>63</v>
      </c>
      <c r="B5" s="3" t="s">
        <v>64</v>
      </c>
      <c r="C5" s="3">
        <v>5029</v>
      </c>
      <c r="D5" s="1" t="s">
        <v>58</v>
      </c>
    </row>
    <row r="6" spans="1:4" x14ac:dyDescent="0.2">
      <c r="A6" s="3" t="s">
        <v>65</v>
      </c>
      <c r="B6" s="3" t="s">
        <v>64</v>
      </c>
      <c r="C6" s="3">
        <v>10794</v>
      </c>
      <c r="D6" s="1" t="s">
        <v>58</v>
      </c>
    </row>
    <row r="7" spans="1:4" x14ac:dyDescent="0.2">
      <c r="A7" s="3" t="s">
        <v>66</v>
      </c>
      <c r="B7" s="3" t="s">
        <v>64</v>
      </c>
      <c r="C7" s="3">
        <v>3356</v>
      </c>
      <c r="D7" s="1" t="s">
        <v>58</v>
      </c>
    </row>
    <row r="8" spans="1:4" x14ac:dyDescent="0.2">
      <c r="A8" s="1" t="s">
        <v>67</v>
      </c>
      <c r="B8" s="3" t="s">
        <v>64</v>
      </c>
      <c r="C8" s="3">
        <v>16348</v>
      </c>
      <c r="D8" s="1" t="s">
        <v>58</v>
      </c>
    </row>
    <row r="9" spans="1:4" x14ac:dyDescent="0.2">
      <c r="A9" s="3" t="s">
        <v>68</v>
      </c>
      <c r="B9" s="3" t="s">
        <v>69</v>
      </c>
      <c r="C9" s="3">
        <v>1528</v>
      </c>
      <c r="D9" s="1" t="s">
        <v>58</v>
      </c>
    </row>
    <row r="10" spans="1:4" x14ac:dyDescent="0.2">
      <c r="A10" s="3" t="s">
        <v>70</v>
      </c>
      <c r="B10" s="3" t="s">
        <v>69</v>
      </c>
      <c r="C10" s="3">
        <v>11009</v>
      </c>
      <c r="D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2026-09-15T11:16:47Z</dcterms:modified>
</cp:coreProperties>
</file>