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/>
  <mc:AlternateContent xmlns:mc="http://schemas.openxmlformats.org/markup-compatibility/2006">
    <mc:Choice Requires="x15">
      <x15ac:absPath xmlns:x15ac="http://schemas.microsoft.com/office/spreadsheetml/2010/11/ac" url="/Users/muhammadnajmirahmani/Belajar/ProjectDatasaur/data/ground_truth/"/>
    </mc:Choice>
  </mc:AlternateContent>
  <xr:revisionPtr revIDLastSave="0" documentId="13_ncr:1_{99F4C128-3C73-8544-BB9F-71C569BDF92E}" xr6:coauthVersionLast="47" xr6:coauthVersionMax="47" xr10:uidLastSave="{00000000-0000-0000-0000-000000000000}"/>
  <bookViews>
    <workbookView xWindow="0" yWindow="660" windowWidth="29300" windowHeight="18980" xr2:uid="{00000000-000D-0000-FFFF-FFFF00000000}"/>
  </bookViews>
  <sheets>
    <sheet name="Sheet1" sheetId="1" r:id="rId1"/>
    <sheet name="Sheet2" sheetId="3" r:id="rId2"/>
    <sheet name="lokasi kebun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6" roundtripDataChecksum="c1H/Q4ZdR4yLnEJr0IZqFh3FObkfqorOjDyrNKq9VL8="/>
    </ext>
  </extLst>
</workbook>
</file>

<file path=xl/calcChain.xml><?xml version="1.0" encoding="utf-8"?>
<calcChain xmlns="http://schemas.openxmlformats.org/spreadsheetml/2006/main">
  <c r="S18" i="1" l="1"/>
  <c r="Q18" i="1"/>
  <c r="H2" i="3"/>
  <c r="R18" i="1"/>
  <c r="R22" i="1"/>
  <c r="S15" i="1"/>
  <c r="S19" i="1" s="1"/>
  <c r="S17" i="1"/>
  <c r="S16" i="1"/>
  <c r="B2" i="3"/>
  <c r="D2" i="3" s="1"/>
  <c r="AA22" i="1"/>
  <c r="Z22" i="1"/>
  <c r="Y22" i="1"/>
  <c r="X22" i="1"/>
  <c r="W22" i="1"/>
  <c r="V22" i="1"/>
  <c r="U22" i="1"/>
  <c r="T22" i="1"/>
  <c r="S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A21" i="1"/>
  <c r="Z21" i="1"/>
  <c r="Y21" i="1"/>
  <c r="X21" i="1"/>
  <c r="X20" i="1" s="1"/>
  <c r="W21" i="1"/>
  <c r="W20" i="1" s="1"/>
  <c r="V21" i="1"/>
  <c r="V20" i="1" s="1"/>
  <c r="U21" i="1"/>
  <c r="U20" i="1" s="1"/>
  <c r="T21" i="1"/>
  <c r="Q21" i="1"/>
  <c r="Q20" i="1" s="1"/>
  <c r="P21" i="1"/>
  <c r="P20" i="1" s="1"/>
  <c r="O21" i="1"/>
  <c r="O20" i="1" s="1"/>
  <c r="N21" i="1"/>
  <c r="N20" i="1" s="1"/>
  <c r="M21" i="1"/>
  <c r="M20" i="1" s="1"/>
  <c r="L21" i="1"/>
  <c r="L20" i="1" s="1"/>
  <c r="K21" i="1"/>
  <c r="K20" i="1" s="1"/>
  <c r="J21" i="1"/>
  <c r="J20" i="1" s="1"/>
  <c r="I21" i="1"/>
  <c r="I20" i="1" s="1"/>
  <c r="H21" i="1"/>
  <c r="H20" i="1" s="1"/>
  <c r="G21" i="1"/>
  <c r="G20" i="1" s="1"/>
  <c r="F21" i="1"/>
  <c r="F20" i="1" s="1"/>
  <c r="E21" i="1"/>
  <c r="E20" i="1" s="1"/>
  <c r="D21" i="1"/>
  <c r="D20" i="1" s="1"/>
  <c r="C21" i="1"/>
  <c r="C20" i="1" s="1"/>
  <c r="B21" i="1"/>
  <c r="B20" i="1" s="1"/>
  <c r="AA20" i="1"/>
  <c r="Z20" i="1"/>
  <c r="Y20" i="1"/>
  <c r="T20" i="1"/>
  <c r="Y19" i="1"/>
  <c r="AA18" i="1"/>
  <c r="Z18" i="1"/>
  <c r="Y18" i="1"/>
  <c r="X18" i="1"/>
  <c r="W18" i="1"/>
  <c r="V18" i="1"/>
  <c r="U18" i="1"/>
  <c r="T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A17" i="1"/>
  <c r="Z17" i="1"/>
  <c r="Y17" i="1"/>
  <c r="X17" i="1"/>
  <c r="W17" i="1"/>
  <c r="V17" i="1"/>
  <c r="U17" i="1"/>
  <c r="T17" i="1"/>
  <c r="R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A16" i="1"/>
  <c r="Z16" i="1"/>
  <c r="Y16" i="1"/>
  <c r="X16" i="1"/>
  <c r="W16" i="1"/>
  <c r="V16" i="1"/>
  <c r="U16" i="1"/>
  <c r="T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A15" i="1"/>
  <c r="AA19" i="1" s="1"/>
  <c r="Z15" i="1"/>
  <c r="Z19" i="1" s="1"/>
  <c r="Y15" i="1"/>
  <c r="X15" i="1"/>
  <c r="X19" i="1" s="1"/>
  <c r="W15" i="1"/>
  <c r="W19" i="1" s="1"/>
  <c r="V15" i="1"/>
  <c r="V19" i="1" s="1"/>
  <c r="U15" i="1"/>
  <c r="U19" i="1" s="1"/>
  <c r="T15" i="1"/>
  <c r="T19" i="1" s="1"/>
  <c r="R15" i="1"/>
  <c r="R19" i="1" s="1"/>
  <c r="Q15" i="1"/>
  <c r="Q19" i="1" s="1"/>
  <c r="P15" i="1"/>
  <c r="P19" i="1" s="1"/>
  <c r="O15" i="1"/>
  <c r="O19" i="1" s="1"/>
  <c r="N15" i="1"/>
  <c r="N19" i="1" s="1"/>
  <c r="M15" i="1"/>
  <c r="M19" i="1" s="1"/>
  <c r="L15" i="1"/>
  <c r="L19" i="1" s="1"/>
  <c r="K15" i="1"/>
  <c r="K19" i="1" s="1"/>
  <c r="J15" i="1"/>
  <c r="J19" i="1" s="1"/>
  <c r="I15" i="1"/>
  <c r="I19" i="1" s="1"/>
  <c r="H15" i="1"/>
  <c r="H19" i="1" s="1"/>
  <c r="G15" i="1"/>
  <c r="G19" i="1" s="1"/>
  <c r="F15" i="1"/>
  <c r="F19" i="1" s="1"/>
  <c r="E15" i="1"/>
  <c r="E19" i="1" s="1"/>
  <c r="D15" i="1"/>
  <c r="D19" i="1" s="1"/>
  <c r="C15" i="1"/>
  <c r="C19" i="1" s="1"/>
  <c r="B15" i="1"/>
  <c r="B19" i="1" s="1"/>
  <c r="Q17" i="1" l="1"/>
  <c r="R21" i="1"/>
  <c r="R20" i="1" s="1"/>
  <c r="R16" i="1"/>
  <c r="S21" i="1"/>
  <c r="S20" i="1" s="1"/>
</calcChain>
</file>

<file path=xl/sharedStrings.xml><?xml version="1.0" encoding="utf-8"?>
<sst xmlns="http://schemas.openxmlformats.org/spreadsheetml/2006/main" count="89" uniqueCount="72">
  <si>
    <t>Perusahaan</t>
  </si>
  <si>
    <t>(HANYA YANG BISA DIATRIBUSIKAN KE ENTITAS INDUK SAJA)</t>
  </si>
  <si>
    <t xml:space="preserve">Lokasi </t>
  </si>
  <si>
    <t>Luasan</t>
  </si>
  <si>
    <t>PT Cipta Davia Mandiri</t>
  </si>
  <si>
    <t xml:space="preserve">Kutai Timur, Kaltim </t>
  </si>
  <si>
    <t>Hektar</t>
  </si>
  <si>
    <t>PT Cahaya Anugrah Plantation</t>
  </si>
  <si>
    <t>Kutai Kartanegara, Kaltim</t>
  </si>
  <si>
    <t>Multi Jayantara Abadi</t>
  </si>
  <si>
    <t>Paser, Kaltim</t>
  </si>
  <si>
    <t>Gemilang Sejahtera Abadi</t>
  </si>
  <si>
    <t>Kutai Timur, Kaltim</t>
  </si>
  <si>
    <t>Telen Prima Sawit</t>
  </si>
  <si>
    <t>Sawit Prima Nusantara</t>
  </si>
  <si>
    <t xml:space="preserve"> Telen</t>
  </si>
  <si>
    <t>Inti Energi Kaltim</t>
  </si>
  <si>
    <t>Berau, Kaltim</t>
  </si>
  <si>
    <t>Tanjung Buyu Perkasa Plantation</t>
  </si>
  <si>
    <t>DINYATAKAN DALAM RUPIAH</t>
  </si>
  <si>
    <t>kecuali nilai nominal dan data saham</t>
  </si>
  <si>
    <t>Q2 2026</t>
  </si>
  <si>
    <t>Q1 2026</t>
  </si>
  <si>
    <t>Q4 2025</t>
  </si>
  <si>
    <t>Q3 2025</t>
  </si>
  <si>
    <t>Q2 2025</t>
  </si>
  <si>
    <t>Q1 2025</t>
  </si>
  <si>
    <t>TAHUNAN 2024</t>
  </si>
  <si>
    <t>Q3 2024</t>
  </si>
  <si>
    <t>Q2 2024</t>
  </si>
  <si>
    <t>Q1 2024</t>
  </si>
  <si>
    <t>TAHUNAN 2023</t>
  </si>
  <si>
    <t>Q3 2023</t>
  </si>
  <si>
    <t>Q2 2023</t>
  </si>
  <si>
    <t>Q1 2023</t>
  </si>
  <si>
    <t>TAHUNAN 2022</t>
  </si>
  <si>
    <t>Q3 2022</t>
  </si>
  <si>
    <t>Q2 2022</t>
  </si>
  <si>
    <t>Q1 2022</t>
  </si>
  <si>
    <t>TAHUNAN 2021</t>
  </si>
  <si>
    <t>Q3 2021</t>
  </si>
  <si>
    <t>Q2 2021</t>
  </si>
  <si>
    <t>Q1 2021</t>
  </si>
  <si>
    <t>TAHUNAN 2020</t>
  </si>
  <si>
    <t>Q3 2020</t>
  </si>
  <si>
    <t>Q2 2020</t>
  </si>
  <si>
    <t>Q1 2020</t>
  </si>
  <si>
    <t>Aset</t>
  </si>
  <si>
    <t>total aset lancar</t>
  </si>
  <si>
    <t>KAS</t>
  </si>
  <si>
    <t>liabilitas</t>
  </si>
  <si>
    <t>Utang Bank SAJA Jangka Pendek + Panjang jatuh tempo</t>
  </si>
  <si>
    <t>ekuitas</t>
  </si>
  <si>
    <t>laba bersih</t>
  </si>
  <si>
    <t>pendapatan dari kontrak dengan pelanggan</t>
  </si>
  <si>
    <t>kas dari aktivitas operasi</t>
  </si>
  <si>
    <t>total share</t>
  </si>
  <si>
    <t>Harga saham rupiah</t>
  </si>
  <si>
    <t>Book Value per share</t>
  </si>
  <si>
    <t>P1</t>
  </si>
  <si>
    <t>ROA</t>
  </si>
  <si>
    <t>ROE</t>
  </si>
  <si>
    <t>PBV</t>
  </si>
  <si>
    <t>PE</t>
  </si>
  <si>
    <t>EPS</t>
  </si>
  <si>
    <t>DER</t>
  </si>
  <si>
    <t>Kurs</t>
  </si>
  <si>
    <t>USD to IDR</t>
  </si>
  <si>
    <t>Value</t>
  </si>
  <si>
    <t>Converted</t>
  </si>
  <si>
    <t>CPIN</t>
  </si>
  <si>
    <t>16398000000.0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</si>
</sst>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43" formatCode="_(* #,##0.00_);_(* \(#,##0.00\);_(* &quot;-&quot;??_);_(@_)"/>
    <numFmt numFmtId="164" formatCode="_(* #,##0_);_(* \(#,##0\);_(* &quot;-&quot;??_);_(@_)"/>
    <numFmt numFmtId="165" formatCode="#,##0_ "/>
  </numFmts>
  <fonts count="7" x14ac:knownFonts="1">
    <font>
      <sz val="11"/>
      <color theme="1"/>
      <name val="Aptos Narrow"/>
      <scheme val="minor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color theme="1"/>
      <name val="Aptos Narrow"/>
      <scheme val="minor"/>
    </font>
    <font>
      <sz val="9"/>
      <color rgb="FF000000"/>
      <name val="Helvetica"/>
      <family val="2"/>
    </font>
    <font>
      <sz val="8"/>
      <color rgb="FF000000"/>
      <name val="Arial"/>
      <family val="2"/>
    </font>
    <font>
      <sz val="10"/>
      <color rgb="FF000000"/>
      <name val="Helvetica Neue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0" fontId="3" fillId="0" borderId="0" xfId="0" applyFont="1"/>
    <xf numFmtId="0" fontId="2" fillId="0" borderId="0" xfId="0" applyFont="1"/>
    <xf numFmtId="164" fontId="2" fillId="0" borderId="0" xfId="0" applyNumberFormat="1" applyFont="1"/>
    <xf numFmtId="164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2" borderId="0" xfId="0" applyFont="1" applyFill="1" applyAlignment="1">
      <alignment horizontal="center"/>
    </xf>
    <xf numFmtId="165" fontId="2" fillId="0" borderId="0" xfId="0" applyNumberFormat="1" applyFont="1" applyAlignment="1">
      <alignment horizontal="center"/>
    </xf>
    <xf numFmtId="9" fontId="2" fillId="0" borderId="0" xfId="0" applyNumberFormat="1" applyFont="1" applyAlignment="1">
      <alignment horizontal="center"/>
    </xf>
    <xf numFmtId="43" fontId="2" fillId="0" borderId="0" xfId="0" applyNumberFormat="1" applyFont="1" applyAlignment="1">
      <alignment horizontal="center"/>
    </xf>
    <xf numFmtId="41" fontId="0" fillId="0" borderId="0" xfId="1" applyFont="1"/>
    <xf numFmtId="41" fontId="0" fillId="0" borderId="0" xfId="0" applyNumberFormat="1"/>
    <xf numFmtId="0" fontId="4" fillId="0" borderId="0" xfId="0" applyFont="1"/>
    <xf numFmtId="3" fontId="4" fillId="0" borderId="0" xfId="0" applyNumberFormat="1" applyFont="1"/>
    <xf numFmtId="3" fontId="5" fillId="0" borderId="0" xfId="0" applyNumberFormat="1" applyFont="1"/>
    <xf numFmtId="0" fontId="6" fillId="0" borderId="0" xfId="0" applyFont="1"/>
    <xf numFmtId="41" fontId="6" fillId="0" borderId="0" xfId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10" Type="http://schemas.openxmlformats.org/officeDocument/2006/relationships/calcChain" Target="calcChain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00"/>
  <sheetViews>
    <sheetView tabSelected="1" workbookViewId="0">
      <pane xSplit="1" topLeftCell="B1" activePane="topRight" state="frozen"/>
      <selection pane="topRight" activeCell="N7" sqref="N7"/>
    </sheetView>
  </sheetViews>
  <sheetFormatPr baseColWidth="10" defaultColWidth="12.6640625" defaultRowHeight="15" customHeight="1" x14ac:dyDescent="0.2"/>
  <cols>
    <col min="1" max="1" width="59.6640625" customWidth="1"/>
    <col min="2" max="2" width="20.5" customWidth="1"/>
    <col min="3" max="3" width="19.5" customWidth="1"/>
    <col min="4" max="4" width="22.5" customWidth="1"/>
    <col min="5" max="7" width="19.5" customWidth="1"/>
    <col min="8" max="8" width="18.33203125" bestFit="1" customWidth="1"/>
    <col min="9" max="9" width="19.5" customWidth="1"/>
    <col min="10" max="15" width="18.33203125" bestFit="1" customWidth="1"/>
    <col min="16" max="17" width="18.6640625" bestFit="1" customWidth="1"/>
    <col min="18" max="18" width="32.83203125" bestFit="1" customWidth="1"/>
    <col min="19" max="19" width="18.6640625" bestFit="1" customWidth="1"/>
    <col min="20" max="20" width="15" bestFit="1" customWidth="1"/>
    <col min="21" max="23" width="8.6640625" customWidth="1"/>
    <col min="24" max="24" width="15" bestFit="1" customWidth="1"/>
    <col min="25" max="27" width="8.6640625" customWidth="1"/>
  </cols>
  <sheetData>
    <row r="1" spans="1:27" ht="14.25" customHeight="1" x14ac:dyDescent="0.2">
      <c r="A1" s="2" t="s">
        <v>1</v>
      </c>
      <c r="D1" s="4" t="s">
        <v>70</v>
      </c>
      <c r="E1" s="2"/>
      <c r="F1" s="2"/>
      <c r="G1" s="2"/>
      <c r="H1" s="2"/>
      <c r="I1" s="2"/>
      <c r="J1" s="2"/>
      <c r="K1" s="2"/>
      <c r="L1" s="4"/>
      <c r="M1" s="5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7" ht="14.25" customHeight="1" x14ac:dyDescent="0.2">
      <c r="A2" s="2" t="s">
        <v>19</v>
      </c>
      <c r="D2" s="4"/>
      <c r="E2" s="2"/>
      <c r="F2" s="2" t="s">
        <v>20</v>
      </c>
      <c r="G2" s="2"/>
      <c r="H2" s="2"/>
      <c r="I2" s="2"/>
      <c r="J2" s="2"/>
      <c r="K2" s="2"/>
      <c r="L2" s="4"/>
      <c r="M2" s="5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7" ht="14.25" customHeight="1" x14ac:dyDescent="0.2">
      <c r="A3" s="2"/>
      <c r="B3" s="1" t="s">
        <v>21</v>
      </c>
      <c r="C3" s="1" t="s">
        <v>22</v>
      </c>
      <c r="D3" s="1" t="s">
        <v>23</v>
      </c>
      <c r="E3" s="4" t="s">
        <v>24</v>
      </c>
      <c r="F3" s="4" t="s">
        <v>25</v>
      </c>
      <c r="G3" s="4" t="s">
        <v>26</v>
      </c>
      <c r="H3" s="4" t="s">
        <v>27</v>
      </c>
      <c r="I3" s="4" t="s">
        <v>28</v>
      </c>
      <c r="J3" s="2" t="s">
        <v>29</v>
      </c>
      <c r="K3" s="2" t="s">
        <v>30</v>
      </c>
      <c r="L3" s="2" t="s">
        <v>31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6" t="s">
        <v>37</v>
      </c>
      <c r="S3" s="6" t="s">
        <v>38</v>
      </c>
      <c r="T3" s="6" t="s">
        <v>39</v>
      </c>
      <c r="U3" s="6" t="s">
        <v>40</v>
      </c>
      <c r="V3" s="6" t="s">
        <v>41</v>
      </c>
      <c r="W3" s="6" t="s">
        <v>42</v>
      </c>
      <c r="X3" s="6" t="s">
        <v>43</v>
      </c>
      <c r="Y3" s="6" t="s">
        <v>44</v>
      </c>
      <c r="Z3" s="6" t="s">
        <v>45</v>
      </c>
      <c r="AA3" s="6" t="s">
        <v>46</v>
      </c>
    </row>
    <row r="4" spans="1:27" ht="14.25" customHeight="1" x14ac:dyDescent="0.2">
      <c r="A4" s="2" t="s">
        <v>47</v>
      </c>
      <c r="B4" s="18">
        <v>52380933000000</v>
      </c>
      <c r="C4" s="18">
        <v>48484558000000</v>
      </c>
      <c r="D4" s="18">
        <v>45857963000000</v>
      </c>
      <c r="E4" s="18">
        <v>43716001000000</v>
      </c>
      <c r="F4" s="18">
        <v>43149273000000</v>
      </c>
      <c r="G4" s="18">
        <v>43765363000000</v>
      </c>
      <c r="H4" s="18">
        <v>42791000000000</v>
      </c>
      <c r="I4" s="18">
        <v>42924264000000</v>
      </c>
      <c r="J4" s="18">
        <v>42659855000000</v>
      </c>
      <c r="K4" s="18">
        <v>43539708000000</v>
      </c>
      <c r="L4" s="18">
        <v>40970800000000</v>
      </c>
      <c r="M4" s="18">
        <v>41939307000000</v>
      </c>
      <c r="N4" s="18">
        <v>42905903000000</v>
      </c>
      <c r="O4" s="18">
        <v>41348448000000</v>
      </c>
      <c r="P4" s="18">
        <v>39847545000000</v>
      </c>
      <c r="Q4" s="18">
        <v>39592234000000</v>
      </c>
      <c r="R4" s="18">
        <v>39091367000000</v>
      </c>
      <c r="S4" s="18">
        <v>36388076000000</v>
      </c>
      <c r="T4" s="5"/>
      <c r="U4" s="7"/>
      <c r="V4" s="7"/>
      <c r="W4" s="7"/>
      <c r="X4" s="7"/>
      <c r="Y4" s="7"/>
      <c r="Z4" s="7"/>
      <c r="AA4" s="7"/>
    </row>
    <row r="5" spans="1:27" ht="14.25" customHeight="1" x14ac:dyDescent="0.2">
      <c r="A5" s="2" t="s">
        <v>48</v>
      </c>
      <c r="B5" s="18">
        <v>30932743000000</v>
      </c>
      <c r="C5" s="18">
        <v>27530222000000</v>
      </c>
      <c r="D5" s="18">
        <v>24630760000000</v>
      </c>
      <c r="E5" s="18">
        <v>22325382000000</v>
      </c>
      <c r="F5" s="18">
        <v>21712537000000</v>
      </c>
      <c r="G5" s="18">
        <v>22408711000000</v>
      </c>
      <c r="H5" s="18">
        <v>21339691000000</v>
      </c>
      <c r="I5" s="18">
        <v>20815703000000</v>
      </c>
      <c r="J5" s="18">
        <v>20733857000000</v>
      </c>
      <c r="K5" s="18">
        <v>21052006000000</v>
      </c>
      <c r="L5" s="18">
        <v>18324808000000</v>
      </c>
      <c r="M5" s="18">
        <v>19670037000000</v>
      </c>
      <c r="N5" s="18">
        <v>20696949000000</v>
      </c>
      <c r="O5" s="18">
        <v>19083485000000</v>
      </c>
      <c r="P5" s="18">
        <v>18031436000000</v>
      </c>
      <c r="Q5" s="18">
        <v>18738409000000</v>
      </c>
      <c r="R5" s="18">
        <v>18680838000000</v>
      </c>
      <c r="S5" s="18">
        <v>16238682000000</v>
      </c>
      <c r="T5" s="5"/>
      <c r="U5" s="7"/>
      <c r="V5" s="7"/>
      <c r="W5" s="7"/>
      <c r="X5" s="7"/>
      <c r="Y5" s="7"/>
      <c r="Z5" s="7"/>
      <c r="AA5" s="7"/>
    </row>
    <row r="6" spans="1:27" ht="14.25" customHeight="1" x14ac:dyDescent="0.2">
      <c r="A6" s="2" t="s">
        <v>49</v>
      </c>
      <c r="B6" s="18">
        <v>5368132000000</v>
      </c>
      <c r="C6" s="18">
        <v>7432291000000</v>
      </c>
      <c r="D6" s="18">
        <v>4460703000000</v>
      </c>
      <c r="E6" s="18">
        <v>4186323000000</v>
      </c>
      <c r="F6" s="18">
        <v>3381678000000</v>
      </c>
      <c r="G6" s="18">
        <v>5773705000000</v>
      </c>
      <c r="H6" s="18">
        <v>4446488000000</v>
      </c>
      <c r="I6" s="18">
        <v>3300803000000</v>
      </c>
      <c r="J6" s="18">
        <v>2117225000000</v>
      </c>
      <c r="K6" s="18">
        <v>1758081000000</v>
      </c>
      <c r="L6" s="18">
        <v>2328025000000</v>
      </c>
      <c r="M6" s="18">
        <v>3246510000000</v>
      </c>
      <c r="N6" s="18">
        <v>1601706000000</v>
      </c>
      <c r="O6" s="18">
        <v>1519261000000</v>
      </c>
      <c r="P6" s="18">
        <v>2041946000000</v>
      </c>
      <c r="Q6" s="18">
        <v>1580326000000</v>
      </c>
      <c r="R6" s="18">
        <v>1742608000000</v>
      </c>
      <c r="S6" s="18">
        <v>2110845000000</v>
      </c>
      <c r="T6" s="5"/>
      <c r="U6" s="7"/>
      <c r="V6" s="7"/>
      <c r="W6" s="7"/>
      <c r="X6" s="7"/>
      <c r="Y6" s="7"/>
      <c r="Z6" s="7"/>
      <c r="AA6" s="7"/>
    </row>
    <row r="7" spans="1:27" ht="14.25" customHeight="1" x14ac:dyDescent="0.2">
      <c r="A7" s="2" t="s">
        <v>50</v>
      </c>
      <c r="B7" s="18">
        <v>17469626000000</v>
      </c>
      <c r="C7" s="18">
        <v>11753661000000</v>
      </c>
      <c r="D7" s="18">
        <v>11706869000000</v>
      </c>
      <c r="E7" s="18">
        <v>11811932000000</v>
      </c>
      <c r="F7" s="18">
        <v>12714801000000</v>
      </c>
      <c r="G7" s="18">
        <v>11938263000000</v>
      </c>
      <c r="H7" s="18">
        <v>12502078000000</v>
      </c>
      <c r="I7" s="18">
        <v>13985027000000</v>
      </c>
      <c r="J7" s="18">
        <v>14344296000000</v>
      </c>
      <c r="K7" s="18">
        <v>15799984000000</v>
      </c>
      <c r="L7" s="18">
        <v>13942042000000</v>
      </c>
      <c r="M7" s="18">
        <v>12922344000000</v>
      </c>
      <c r="N7" s="18">
        <v>15190579000000</v>
      </c>
      <c r="O7" s="18">
        <v>14780597000000</v>
      </c>
      <c r="P7" s="18">
        <v>13520331000000</v>
      </c>
      <c r="Q7" s="18">
        <v>13031126000000</v>
      </c>
      <c r="R7" s="18">
        <v>13298202000000</v>
      </c>
      <c r="S7" s="18">
        <v>10047117000000</v>
      </c>
      <c r="T7" s="5"/>
      <c r="U7" s="7"/>
      <c r="V7" s="7"/>
      <c r="W7" s="7"/>
      <c r="X7" s="7"/>
      <c r="Y7" s="7"/>
      <c r="Z7" s="7"/>
      <c r="AA7" s="7"/>
    </row>
    <row r="8" spans="1:27" ht="14.25" customHeight="1" x14ac:dyDescent="0.2">
      <c r="A8" s="2" t="s">
        <v>51</v>
      </c>
      <c r="B8" s="18">
        <v>4832090000000</v>
      </c>
      <c r="C8" s="18">
        <v>3030000000000</v>
      </c>
      <c r="D8" s="18">
        <v>3480000000000</v>
      </c>
      <c r="E8" s="18">
        <v>4250000000000</v>
      </c>
      <c r="F8" s="18">
        <v>4777353000000</v>
      </c>
      <c r="G8" s="18">
        <v>4400000000000</v>
      </c>
      <c r="H8" s="18">
        <v>5400000000000</v>
      </c>
      <c r="I8" s="18">
        <v>6575000000000</v>
      </c>
      <c r="J8" s="18">
        <v>7550000000000</v>
      </c>
      <c r="K8" s="18">
        <v>8946010000000</v>
      </c>
      <c r="L8" s="18">
        <v>7392848000000</v>
      </c>
      <c r="M8" s="18">
        <v>6900000000000</v>
      </c>
      <c r="N8" s="18">
        <v>7744540000000</v>
      </c>
      <c r="O8" s="18">
        <v>7248987000000</v>
      </c>
      <c r="P8" s="18">
        <v>6649216000000</v>
      </c>
      <c r="Q8" s="18">
        <v>5697558000000</v>
      </c>
      <c r="R8" s="18">
        <v>6713661000000</v>
      </c>
      <c r="S8" s="18">
        <v>4299315000000</v>
      </c>
      <c r="T8" s="5"/>
      <c r="U8" s="7"/>
      <c r="V8" s="7"/>
      <c r="W8" s="7"/>
      <c r="X8" s="7"/>
      <c r="Y8" s="7"/>
      <c r="Z8" s="7"/>
      <c r="AA8" s="7"/>
    </row>
    <row r="9" spans="1:27" ht="14.25" customHeight="1" x14ac:dyDescent="0.2">
      <c r="A9" s="2" t="s">
        <v>52</v>
      </c>
      <c r="B9" s="18">
        <v>34897180000000</v>
      </c>
      <c r="C9" s="18">
        <v>36716366000000</v>
      </c>
      <c r="D9" s="18">
        <v>34136370000000</v>
      </c>
      <c r="E9" s="18">
        <v>31885954000000</v>
      </c>
      <c r="F9" s="18">
        <v>30415323000000</v>
      </c>
      <c r="G9" s="18">
        <v>31810990000000</v>
      </c>
      <c r="H9" s="18">
        <v>30273959000000</v>
      </c>
      <c r="I9" s="18">
        <v>28923270000000</v>
      </c>
      <c r="J9" s="18">
        <v>28299245000000</v>
      </c>
      <c r="K9" s="18">
        <v>27723535000000</v>
      </c>
      <c r="L9" s="18">
        <v>27012497000000</v>
      </c>
      <c r="M9" s="18">
        <v>29001098000000</v>
      </c>
      <c r="N9" s="18">
        <v>27699370000000</v>
      </c>
      <c r="O9" s="18">
        <v>26551465000000</v>
      </c>
      <c r="P9" s="18">
        <v>26310473000000</v>
      </c>
      <c r="Q9" s="18">
        <v>26544080000000</v>
      </c>
      <c r="R9" s="18">
        <v>25777277000000</v>
      </c>
      <c r="S9" s="18">
        <v>26326553000000</v>
      </c>
      <c r="T9" s="5"/>
      <c r="U9" s="7"/>
      <c r="V9" s="7"/>
      <c r="W9" s="7"/>
      <c r="X9" s="7"/>
      <c r="Y9" s="7"/>
      <c r="Z9" s="7"/>
      <c r="AA9" s="7"/>
    </row>
    <row r="10" spans="1:27" ht="14.25" customHeight="1" x14ac:dyDescent="0.2">
      <c r="A10" s="2" t="s">
        <v>53</v>
      </c>
      <c r="B10" s="18">
        <v>3708330000000</v>
      </c>
      <c r="C10" s="18">
        <v>2577936000000</v>
      </c>
      <c r="D10" s="18">
        <v>5643863000000</v>
      </c>
      <c r="E10" s="18">
        <v>3365043000000</v>
      </c>
      <c r="F10" s="18">
        <v>1900390000000</v>
      </c>
      <c r="G10" s="18">
        <v>1537031000000</v>
      </c>
      <c r="H10" s="18">
        <v>3712926000000</v>
      </c>
      <c r="I10" s="18">
        <v>2386802000000</v>
      </c>
      <c r="J10" s="18">
        <v>1768080000000</v>
      </c>
      <c r="K10" s="18">
        <v>711038000000</v>
      </c>
      <c r="L10" s="18">
        <v>2318584000000</v>
      </c>
      <c r="M10" s="18">
        <v>2675589000000</v>
      </c>
      <c r="N10" s="18">
        <v>1378873000000</v>
      </c>
      <c r="O10" s="18">
        <v>240992000000</v>
      </c>
      <c r="P10" s="18">
        <v>2928342000000</v>
      </c>
      <c r="Q10" s="18">
        <v>3185800000000</v>
      </c>
      <c r="R10" s="18">
        <v>2416989000000</v>
      </c>
      <c r="S10" s="18">
        <v>1191265000000</v>
      </c>
      <c r="T10" s="5"/>
      <c r="U10" s="7"/>
      <c r="V10" s="7"/>
      <c r="W10" s="7"/>
      <c r="X10" s="7"/>
      <c r="Y10" s="7"/>
      <c r="Z10" s="7"/>
      <c r="AA10" s="7"/>
    </row>
    <row r="11" spans="1:27" ht="14.25" customHeight="1" x14ac:dyDescent="0.2">
      <c r="A11" s="6" t="s">
        <v>54</v>
      </c>
      <c r="B11" s="18">
        <v>39418494000000</v>
      </c>
      <c r="C11" s="18">
        <v>19952120000000</v>
      </c>
      <c r="D11" s="18">
        <v>70704988000000</v>
      </c>
      <c r="E11" s="18">
        <v>50604542000000</v>
      </c>
      <c r="F11" s="18">
        <v>33061683000000</v>
      </c>
      <c r="G11" s="18">
        <v>17704697000000</v>
      </c>
      <c r="H11" s="18">
        <v>67477992000000</v>
      </c>
      <c r="I11" s="18">
        <v>49718726000000</v>
      </c>
      <c r="J11" s="18">
        <v>32961973000000</v>
      </c>
      <c r="K11" s="18">
        <v>15912620000000</v>
      </c>
      <c r="L11" s="18">
        <v>61615850000000</v>
      </c>
      <c r="M11" s="18">
        <v>47128673000000</v>
      </c>
      <c r="N11" s="18">
        <v>30891883000000</v>
      </c>
      <c r="O11" s="18">
        <v>14564094000000</v>
      </c>
      <c r="P11" s="18">
        <v>56867544000000</v>
      </c>
      <c r="Q11" s="18">
        <v>43438698000000</v>
      </c>
      <c r="R11" s="18">
        <v>28637323000000</v>
      </c>
      <c r="S11" s="18">
        <v>14295430000000</v>
      </c>
      <c r="T11" s="5"/>
      <c r="U11" s="7"/>
      <c r="V11" s="7"/>
      <c r="W11" s="7"/>
      <c r="X11" s="7"/>
      <c r="Y11" s="7"/>
      <c r="Z11" s="7"/>
      <c r="AA11" s="7"/>
    </row>
    <row r="12" spans="1:27" ht="14.25" customHeight="1" x14ac:dyDescent="0.2">
      <c r="A12" s="2" t="s">
        <v>55</v>
      </c>
      <c r="B12" s="18">
        <v>1726556000000</v>
      </c>
      <c r="C12" s="18">
        <v>3437602000000</v>
      </c>
      <c r="D12" s="18">
        <v>5773901000000</v>
      </c>
      <c r="E12" s="18">
        <v>4015120000000</v>
      </c>
      <c r="F12" s="18">
        <v>2133968000000</v>
      </c>
      <c r="G12" s="18">
        <v>2598615000000</v>
      </c>
      <c r="H12" s="18">
        <v>4305814000000</v>
      </c>
      <c r="I12" s="18">
        <v>2068139000000</v>
      </c>
      <c r="J12" s="18">
        <v>656571000000</v>
      </c>
      <c r="K12" s="18">
        <v>-1697247000000</v>
      </c>
      <c r="L12" s="18">
        <v>3146254000000</v>
      </c>
      <c r="M12" s="18">
        <v>2498307000000</v>
      </c>
      <c r="N12" s="18">
        <v>-695920000000</v>
      </c>
      <c r="O12" s="18">
        <v>-503234000000</v>
      </c>
      <c r="P12" s="18">
        <v>1673887000000</v>
      </c>
      <c r="Q12" s="18">
        <v>358432000000</v>
      </c>
      <c r="R12" s="18">
        <v>288688000000</v>
      </c>
      <c r="S12" s="18">
        <v>1238530000000</v>
      </c>
      <c r="T12" s="5"/>
      <c r="U12" s="7"/>
      <c r="V12" s="7"/>
      <c r="W12" s="7"/>
      <c r="X12" s="7"/>
      <c r="Y12" s="7"/>
      <c r="Z12" s="7"/>
      <c r="AA12" s="7"/>
    </row>
    <row r="13" spans="1:27" ht="14.25" customHeight="1" x14ac:dyDescent="0.2">
      <c r="A13" s="2" t="s">
        <v>56</v>
      </c>
      <c r="B13" s="18">
        <v>16398000000</v>
      </c>
      <c r="C13" s="18">
        <v>16398000000</v>
      </c>
      <c r="D13" s="18">
        <v>16398000000</v>
      </c>
      <c r="E13" s="18">
        <v>16398000000</v>
      </c>
      <c r="F13" s="18">
        <v>16398000000</v>
      </c>
      <c r="G13" s="18">
        <v>16398000000</v>
      </c>
      <c r="H13" s="18">
        <v>16398000000</v>
      </c>
      <c r="I13" s="18">
        <v>16398000000</v>
      </c>
      <c r="J13" s="18">
        <v>16398000000</v>
      </c>
      <c r="K13" s="18">
        <v>16398000000</v>
      </c>
      <c r="L13" s="18">
        <v>16398000000</v>
      </c>
      <c r="M13" s="18">
        <v>16398000000</v>
      </c>
      <c r="N13" s="18">
        <v>16398000000</v>
      </c>
      <c r="O13" s="18">
        <v>16398000000</v>
      </c>
      <c r="P13" s="18">
        <v>16398000000</v>
      </c>
      <c r="Q13" s="18">
        <v>16398000000</v>
      </c>
      <c r="R13" s="18">
        <v>16398000000</v>
      </c>
      <c r="S13" s="18">
        <v>16398000000</v>
      </c>
      <c r="T13" s="5"/>
      <c r="U13" s="7"/>
      <c r="V13" s="7"/>
      <c r="W13" s="7"/>
      <c r="X13" s="7"/>
      <c r="Y13" s="7"/>
      <c r="Z13" s="7"/>
      <c r="AA13" s="7"/>
    </row>
    <row r="14" spans="1:27" ht="14.25" customHeight="1" x14ac:dyDescent="0.2">
      <c r="A14" s="2" t="s">
        <v>57</v>
      </c>
      <c r="B14" s="4"/>
      <c r="C14" s="4"/>
      <c r="D14" s="4"/>
      <c r="E14" s="4"/>
      <c r="F14" s="4"/>
      <c r="G14" s="4"/>
      <c r="H14" s="5"/>
      <c r="I14" s="5"/>
      <c r="J14" s="5"/>
      <c r="K14" s="5">
        <v>444</v>
      </c>
      <c r="L14" s="5">
        <v>448</v>
      </c>
      <c r="M14" s="5">
        <v>454</v>
      </c>
      <c r="N14" s="5">
        <v>458</v>
      </c>
      <c r="O14" s="5">
        <v>454</v>
      </c>
      <c r="P14" s="5">
        <v>468</v>
      </c>
      <c r="Q14" s="5">
        <v>580</v>
      </c>
      <c r="R14" s="5">
        <v>610</v>
      </c>
      <c r="S14" s="5">
        <v>352</v>
      </c>
      <c r="T14" s="5">
        <v>725</v>
      </c>
      <c r="U14" s="7">
        <v>570</v>
      </c>
      <c r="V14" s="7">
        <v>570</v>
      </c>
      <c r="W14" s="4">
        <v>570</v>
      </c>
      <c r="X14" s="7">
        <v>570</v>
      </c>
      <c r="Y14" s="7">
        <v>570</v>
      </c>
      <c r="Z14" s="7">
        <v>1140</v>
      </c>
      <c r="AA14" s="7">
        <v>1140</v>
      </c>
    </row>
    <row r="15" spans="1:27" ht="14.25" customHeight="1" x14ac:dyDescent="0.2">
      <c r="A15" s="8" t="s">
        <v>58</v>
      </c>
      <c r="B15" s="6">
        <f t="shared" ref="B15:AA15" si="0">B9/B13</f>
        <v>2128.1363580924503</v>
      </c>
      <c r="C15" s="6">
        <f t="shared" si="0"/>
        <v>2239.075862910111</v>
      </c>
      <c r="D15" s="6">
        <f t="shared" si="0"/>
        <v>2081.7398463227223</v>
      </c>
      <c r="E15" s="6">
        <f t="shared" si="0"/>
        <v>1944.5026222710087</v>
      </c>
      <c r="F15" s="6">
        <f t="shared" si="0"/>
        <v>1854.8190633004024</v>
      </c>
      <c r="G15" s="6">
        <f t="shared" si="0"/>
        <v>1939.9310891572143</v>
      </c>
      <c r="H15" s="6">
        <f t="shared" si="0"/>
        <v>1846.198255884864</v>
      </c>
      <c r="I15" s="6">
        <f t="shared" si="0"/>
        <v>1763.8291255031102</v>
      </c>
      <c r="J15" s="6">
        <f t="shared" si="0"/>
        <v>1725.7741797780218</v>
      </c>
      <c r="K15" s="6">
        <f t="shared" si="0"/>
        <v>1690.6656299548727</v>
      </c>
      <c r="L15" s="6">
        <f t="shared" si="0"/>
        <v>1647.3043663861447</v>
      </c>
      <c r="M15" s="6">
        <f t="shared" si="0"/>
        <v>1768.5753140626905</v>
      </c>
      <c r="N15" s="6">
        <f t="shared" si="0"/>
        <v>1689.1919746310525</v>
      </c>
      <c r="O15" s="6">
        <f t="shared" si="0"/>
        <v>1619.1892303939505</v>
      </c>
      <c r="P15" s="6">
        <f t="shared" si="0"/>
        <v>1604.4928040004879</v>
      </c>
      <c r="Q15" s="6">
        <f t="shared" si="0"/>
        <v>1618.738870593975</v>
      </c>
      <c r="R15" s="6">
        <f t="shared" si="0"/>
        <v>1571.9768874252957</v>
      </c>
      <c r="S15" s="6">
        <f>S9/S13</f>
        <v>1605.4734113916331</v>
      </c>
      <c r="T15" s="6" t="e">
        <f t="shared" si="0"/>
        <v>#DIV/0!</v>
      </c>
      <c r="U15" s="6" t="e">
        <f t="shared" si="0"/>
        <v>#DIV/0!</v>
      </c>
      <c r="V15" s="6" t="e">
        <f t="shared" si="0"/>
        <v>#DIV/0!</v>
      </c>
      <c r="W15" s="6" t="e">
        <f t="shared" si="0"/>
        <v>#DIV/0!</v>
      </c>
      <c r="X15" s="9" t="e">
        <f t="shared" si="0"/>
        <v>#DIV/0!</v>
      </c>
      <c r="Y15" s="9" t="e">
        <f t="shared" si="0"/>
        <v>#DIV/0!</v>
      </c>
      <c r="Z15" s="9" t="e">
        <f t="shared" si="0"/>
        <v>#DIV/0!</v>
      </c>
      <c r="AA15" s="9" t="e">
        <f t="shared" si="0"/>
        <v>#DIV/0!</v>
      </c>
    </row>
    <row r="16" spans="1:27" ht="14.25" customHeight="1" x14ac:dyDescent="0.2">
      <c r="A16" s="8" t="s">
        <v>59</v>
      </c>
      <c r="B16" s="6">
        <f t="shared" ref="B16:AA16" si="1">B5-B7</f>
        <v>13463117000000</v>
      </c>
      <c r="C16" s="6">
        <f t="shared" si="1"/>
        <v>15776561000000</v>
      </c>
      <c r="D16" s="6">
        <f t="shared" si="1"/>
        <v>12923891000000</v>
      </c>
      <c r="E16" s="6">
        <f t="shared" si="1"/>
        <v>10513450000000</v>
      </c>
      <c r="F16" s="6">
        <f t="shared" si="1"/>
        <v>8997736000000</v>
      </c>
      <c r="G16" s="6">
        <f t="shared" si="1"/>
        <v>10470448000000</v>
      </c>
      <c r="H16" s="6">
        <f t="shared" si="1"/>
        <v>8837613000000</v>
      </c>
      <c r="I16" s="6">
        <f t="shared" si="1"/>
        <v>6830676000000</v>
      </c>
      <c r="J16" s="6">
        <f t="shared" si="1"/>
        <v>6389561000000</v>
      </c>
      <c r="K16" s="6">
        <f t="shared" si="1"/>
        <v>5252022000000</v>
      </c>
      <c r="L16" s="6">
        <f t="shared" si="1"/>
        <v>4382766000000</v>
      </c>
      <c r="M16" s="6">
        <f t="shared" si="1"/>
        <v>6747693000000</v>
      </c>
      <c r="N16" s="6">
        <f t="shared" si="1"/>
        <v>5506370000000</v>
      </c>
      <c r="O16" s="6">
        <f t="shared" si="1"/>
        <v>4302888000000</v>
      </c>
      <c r="P16" s="6">
        <f t="shared" si="1"/>
        <v>4511105000000</v>
      </c>
      <c r="Q16" s="6">
        <f t="shared" si="1"/>
        <v>5707283000000</v>
      </c>
      <c r="R16" s="6">
        <f t="shared" si="1"/>
        <v>5382636000000</v>
      </c>
      <c r="S16" s="6">
        <f>S5-S7</f>
        <v>6191565000000</v>
      </c>
      <c r="T16" s="6">
        <f t="shared" si="1"/>
        <v>0</v>
      </c>
      <c r="U16" s="6">
        <f t="shared" si="1"/>
        <v>0</v>
      </c>
      <c r="V16" s="6">
        <f t="shared" si="1"/>
        <v>0</v>
      </c>
      <c r="W16" s="6">
        <f t="shared" si="1"/>
        <v>0</v>
      </c>
      <c r="X16" s="9">
        <f t="shared" si="1"/>
        <v>0</v>
      </c>
      <c r="Y16" s="9">
        <f t="shared" si="1"/>
        <v>0</v>
      </c>
      <c r="Z16" s="9">
        <f t="shared" si="1"/>
        <v>0</v>
      </c>
      <c r="AA16" s="9">
        <f t="shared" si="1"/>
        <v>0</v>
      </c>
    </row>
    <row r="17" spans="1:27" ht="14.25" customHeight="1" x14ac:dyDescent="0.2">
      <c r="A17" s="8" t="s">
        <v>60</v>
      </c>
      <c r="B17" s="10">
        <f t="shared" ref="B17:AA17" si="2">B10/B4</f>
        <v>7.0795417103395236E-2</v>
      </c>
      <c r="C17" s="10">
        <f t="shared" si="2"/>
        <v>5.3170248556251666E-2</v>
      </c>
      <c r="D17" s="10">
        <f t="shared" si="2"/>
        <v>0.12307269295847266</v>
      </c>
      <c r="E17" s="10">
        <f t="shared" si="2"/>
        <v>7.6975087451388799E-2</v>
      </c>
      <c r="F17" s="10">
        <f t="shared" si="2"/>
        <v>4.4042225230538648E-2</v>
      </c>
      <c r="G17" s="10">
        <f t="shared" si="2"/>
        <v>3.5119804672932797E-2</v>
      </c>
      <c r="H17" s="10">
        <f t="shared" si="2"/>
        <v>8.6768853263536727E-2</v>
      </c>
      <c r="I17" s="10">
        <f t="shared" si="2"/>
        <v>5.5604960401883653E-2</v>
      </c>
      <c r="J17" s="10">
        <f t="shared" si="2"/>
        <v>4.1445991787829567E-2</v>
      </c>
      <c r="K17" s="10">
        <f t="shared" si="2"/>
        <v>1.6330793950202881E-2</v>
      </c>
      <c r="L17" s="10">
        <f t="shared" si="2"/>
        <v>5.6591133197301489E-2</v>
      </c>
      <c r="M17" s="10">
        <f t="shared" si="2"/>
        <v>6.3796690775076464E-2</v>
      </c>
      <c r="N17" s="10">
        <f t="shared" si="2"/>
        <v>3.2137139731099475E-2</v>
      </c>
      <c r="O17" s="10">
        <f t="shared" si="2"/>
        <v>5.8283203277665948E-3</v>
      </c>
      <c r="P17" s="10">
        <f t="shared" si="2"/>
        <v>7.3488642775859842E-2</v>
      </c>
      <c r="Q17" s="10">
        <f t="shared" si="2"/>
        <v>8.0465275083997534E-2</v>
      </c>
      <c r="R17" s="10">
        <f t="shared" si="2"/>
        <v>6.1829226898102593E-2</v>
      </c>
      <c r="S17" s="10">
        <f t="shared" si="2"/>
        <v>3.2737784762239146E-2</v>
      </c>
      <c r="T17" s="10" t="e">
        <f t="shared" si="2"/>
        <v>#DIV/0!</v>
      </c>
      <c r="U17" s="10" t="e">
        <f t="shared" si="2"/>
        <v>#DIV/0!</v>
      </c>
      <c r="V17" s="10" t="e">
        <f t="shared" si="2"/>
        <v>#DIV/0!</v>
      </c>
      <c r="W17" s="10" t="e">
        <f t="shared" si="2"/>
        <v>#DIV/0!</v>
      </c>
      <c r="X17" s="10" t="e">
        <f t="shared" si="2"/>
        <v>#DIV/0!</v>
      </c>
      <c r="Y17" s="10" t="e">
        <f t="shared" si="2"/>
        <v>#DIV/0!</v>
      </c>
      <c r="Z17" s="10" t="e">
        <f t="shared" si="2"/>
        <v>#DIV/0!</v>
      </c>
      <c r="AA17" s="10" t="e">
        <f t="shared" si="2"/>
        <v>#DIV/0!</v>
      </c>
    </row>
    <row r="18" spans="1:27" ht="14.25" customHeight="1" x14ac:dyDescent="0.2">
      <c r="A18" s="8" t="s">
        <v>61</v>
      </c>
      <c r="B18" s="10">
        <f t="shared" ref="B18:AA18" si="3">B10/B9</f>
        <v>0.10626446033748285</v>
      </c>
      <c r="C18" s="10">
        <f t="shared" si="3"/>
        <v>7.0212177316240937E-2</v>
      </c>
      <c r="D18" s="10">
        <f t="shared" si="3"/>
        <v>0.16533284001784607</v>
      </c>
      <c r="E18" s="10">
        <f t="shared" si="3"/>
        <v>0.10553370929406722</v>
      </c>
      <c r="F18" s="10">
        <f t="shared" si="3"/>
        <v>6.2481335476858163E-2</v>
      </c>
      <c r="G18" s="10">
        <f t="shared" si="3"/>
        <v>4.8317609731731076E-2</v>
      </c>
      <c r="H18" s="10">
        <f t="shared" si="3"/>
        <v>0.12264421709760524</v>
      </c>
      <c r="I18" s="10">
        <f t="shared" si="3"/>
        <v>8.2521858697166675E-2</v>
      </c>
      <c r="J18" s="10">
        <f t="shared" si="3"/>
        <v>6.2477991904024296E-2</v>
      </c>
      <c r="K18" s="10">
        <f t="shared" si="3"/>
        <v>2.5647450803081208E-2</v>
      </c>
      <c r="L18" s="10">
        <f t="shared" si="3"/>
        <v>8.5833753169875404E-2</v>
      </c>
      <c r="M18" s="10">
        <f t="shared" si="3"/>
        <v>9.2258196568971287E-2</v>
      </c>
      <c r="N18" s="10">
        <f t="shared" si="3"/>
        <v>4.9779940843419905E-2</v>
      </c>
      <c r="O18" s="10">
        <f t="shared" si="3"/>
        <v>9.0764106613326241E-3</v>
      </c>
      <c r="P18" s="10">
        <f t="shared" si="3"/>
        <v>0.11129948138902709</v>
      </c>
      <c r="Q18" s="10">
        <f t="shared" si="3"/>
        <v>0.12001922839292227</v>
      </c>
      <c r="R18" s="10">
        <f t="shared" si="3"/>
        <v>9.3764325844036975E-2</v>
      </c>
      <c r="S18" s="10">
        <f t="shared" si="3"/>
        <v>4.5249562295527256E-2</v>
      </c>
      <c r="T18" s="10" t="e">
        <f t="shared" si="3"/>
        <v>#DIV/0!</v>
      </c>
      <c r="U18" s="10" t="e">
        <f t="shared" si="3"/>
        <v>#DIV/0!</v>
      </c>
      <c r="V18" s="10" t="e">
        <f t="shared" si="3"/>
        <v>#DIV/0!</v>
      </c>
      <c r="W18" s="10" t="e">
        <f t="shared" si="3"/>
        <v>#DIV/0!</v>
      </c>
      <c r="X18" s="10" t="e">
        <f t="shared" si="3"/>
        <v>#DIV/0!</v>
      </c>
      <c r="Y18" s="10" t="e">
        <f t="shared" si="3"/>
        <v>#DIV/0!</v>
      </c>
      <c r="Z18" s="10" t="e">
        <f t="shared" si="3"/>
        <v>#DIV/0!</v>
      </c>
      <c r="AA18" s="10" t="e">
        <f t="shared" si="3"/>
        <v>#DIV/0!</v>
      </c>
    </row>
    <row r="19" spans="1:27" ht="14.25" customHeight="1" x14ac:dyDescent="0.2">
      <c r="A19" s="8" t="s">
        <v>62</v>
      </c>
      <c r="B19" s="11">
        <f t="shared" ref="B19:AA19" si="4">B14/B15</f>
        <v>0</v>
      </c>
      <c r="C19" s="11">
        <f t="shared" si="4"/>
        <v>0</v>
      </c>
      <c r="D19" s="11">
        <f t="shared" si="4"/>
        <v>0</v>
      </c>
      <c r="E19" s="11">
        <f t="shared" si="4"/>
        <v>0</v>
      </c>
      <c r="F19" s="11">
        <f t="shared" si="4"/>
        <v>0</v>
      </c>
      <c r="G19" s="11">
        <f t="shared" si="4"/>
        <v>0</v>
      </c>
      <c r="H19" s="11">
        <f t="shared" si="4"/>
        <v>0</v>
      </c>
      <c r="I19" s="11">
        <f t="shared" si="4"/>
        <v>0</v>
      </c>
      <c r="J19" s="11">
        <f t="shared" si="4"/>
        <v>0</v>
      </c>
      <c r="K19" s="11">
        <f t="shared" si="4"/>
        <v>0.26261845756682906</v>
      </c>
      <c r="L19" s="11">
        <f t="shared" si="4"/>
        <v>0.27195945639531216</v>
      </c>
      <c r="M19" s="11">
        <f t="shared" si="4"/>
        <v>0.25670379790447934</v>
      </c>
      <c r="N19" s="11">
        <f t="shared" si="4"/>
        <v>0.27113555290246677</v>
      </c>
      <c r="O19" s="11">
        <f t="shared" si="4"/>
        <v>0.28038724040274238</v>
      </c>
      <c r="P19" s="11">
        <f t="shared" si="4"/>
        <v>0.29168095913745068</v>
      </c>
      <c r="Q19" s="11">
        <f t="shared" si="4"/>
        <v>0.35830362174918096</v>
      </c>
      <c r="R19" s="11">
        <f t="shared" si="4"/>
        <v>0.38804641778105581</v>
      </c>
      <c r="S19" s="11">
        <f t="shared" si="4"/>
        <v>0.21924997169207833</v>
      </c>
      <c r="T19" s="11" t="e">
        <f t="shared" si="4"/>
        <v>#DIV/0!</v>
      </c>
      <c r="U19" s="11" t="e">
        <f t="shared" si="4"/>
        <v>#DIV/0!</v>
      </c>
      <c r="V19" s="11" t="e">
        <f t="shared" si="4"/>
        <v>#DIV/0!</v>
      </c>
      <c r="W19" s="11" t="e">
        <f t="shared" si="4"/>
        <v>#DIV/0!</v>
      </c>
      <c r="X19" s="9" t="e">
        <f t="shared" si="4"/>
        <v>#DIV/0!</v>
      </c>
      <c r="Y19" s="9" t="e">
        <f t="shared" si="4"/>
        <v>#DIV/0!</v>
      </c>
      <c r="Z19" s="9" t="e">
        <f t="shared" si="4"/>
        <v>#DIV/0!</v>
      </c>
      <c r="AA19" s="9" t="e">
        <f t="shared" si="4"/>
        <v>#DIV/0!</v>
      </c>
    </row>
    <row r="20" spans="1:27" ht="14.25" customHeight="1" x14ac:dyDescent="0.2">
      <c r="A20" s="8" t="s">
        <v>63</v>
      </c>
      <c r="B20" s="11">
        <f t="shared" ref="B20:AA20" si="5">B14/B21</f>
        <v>0</v>
      </c>
      <c r="C20" s="11">
        <f t="shared" si="5"/>
        <v>0</v>
      </c>
      <c r="D20" s="11">
        <f t="shared" si="5"/>
        <v>0</v>
      </c>
      <c r="E20" s="11">
        <f t="shared" si="5"/>
        <v>0</v>
      </c>
      <c r="F20" s="11">
        <f t="shared" si="5"/>
        <v>0</v>
      </c>
      <c r="G20" s="11">
        <f t="shared" si="5"/>
        <v>0</v>
      </c>
      <c r="H20" s="11">
        <f t="shared" si="5"/>
        <v>0</v>
      </c>
      <c r="I20" s="11">
        <f t="shared" si="5"/>
        <v>0</v>
      </c>
      <c r="J20" s="11">
        <f t="shared" si="5"/>
        <v>0</v>
      </c>
      <c r="K20" s="11">
        <f t="shared" si="5"/>
        <v>10.239554004146052</v>
      </c>
      <c r="L20" s="11">
        <f t="shared" si="5"/>
        <v>3.168444188349441</v>
      </c>
      <c r="M20" s="11">
        <f t="shared" si="5"/>
        <v>2.7824497708728808</v>
      </c>
      <c r="N20" s="11">
        <f t="shared" si="5"/>
        <v>5.4466829069827316</v>
      </c>
      <c r="O20" s="11">
        <f t="shared" si="5"/>
        <v>30.891863630327975</v>
      </c>
      <c r="P20" s="11">
        <f t="shared" si="5"/>
        <v>2.6206856985966804</v>
      </c>
      <c r="Q20" s="11">
        <f t="shared" si="5"/>
        <v>2.9853851465879844</v>
      </c>
      <c r="R20" s="11">
        <f t="shared" si="5"/>
        <v>4.1385293851151168</v>
      </c>
      <c r="S20" s="11">
        <f t="shared" si="5"/>
        <v>4.8453501110164412</v>
      </c>
      <c r="T20" s="11" t="e">
        <f t="shared" si="5"/>
        <v>#DIV/0!</v>
      </c>
      <c r="U20" s="11" t="e">
        <f t="shared" si="5"/>
        <v>#DIV/0!</v>
      </c>
      <c r="V20" s="11" t="e">
        <f t="shared" si="5"/>
        <v>#DIV/0!</v>
      </c>
      <c r="W20" s="11" t="e">
        <f t="shared" si="5"/>
        <v>#DIV/0!</v>
      </c>
      <c r="X20" s="9" t="e">
        <f t="shared" si="5"/>
        <v>#DIV/0!</v>
      </c>
      <c r="Y20" s="9" t="e">
        <f t="shared" si="5"/>
        <v>#DIV/0!</v>
      </c>
      <c r="Z20" s="9" t="e">
        <f t="shared" si="5"/>
        <v>#DIV/0!</v>
      </c>
      <c r="AA20" s="9" t="e">
        <f t="shared" si="5"/>
        <v>#DIV/0!</v>
      </c>
    </row>
    <row r="21" spans="1:27" ht="14.25" customHeight="1" x14ac:dyDescent="0.2">
      <c r="A21" s="8" t="s">
        <v>64</v>
      </c>
      <c r="B21" s="6">
        <f t="shared" ref="B21:AA21" si="6">B10/B13</f>
        <v>226.14526161727039</v>
      </c>
      <c r="C21" s="6">
        <f t="shared" si="6"/>
        <v>157.21039151115988</v>
      </c>
      <c r="D21" s="6">
        <f t="shared" si="6"/>
        <v>344.17996097085012</v>
      </c>
      <c r="E21" s="6">
        <f t="shared" si="6"/>
        <v>205.21057446030002</v>
      </c>
      <c r="F21" s="6">
        <f t="shared" si="6"/>
        <v>115.89157214294426</v>
      </c>
      <c r="G21" s="6">
        <f t="shared" si="6"/>
        <v>93.732833272350291</v>
      </c>
      <c r="H21" s="6">
        <f t="shared" si="6"/>
        <v>226.42553969996342</v>
      </c>
      <c r="I21" s="6">
        <f t="shared" si="6"/>
        <v>145.55445786071473</v>
      </c>
      <c r="J21" s="6">
        <f t="shared" si="6"/>
        <v>107.82290523234541</v>
      </c>
      <c r="K21" s="6">
        <f t="shared" si="6"/>
        <v>43.361263568727892</v>
      </c>
      <c r="L21" s="6">
        <f t="shared" si="6"/>
        <v>141.39431638004635</v>
      </c>
      <c r="M21" s="6">
        <f t="shared" si="6"/>
        <v>163.16556897182582</v>
      </c>
      <c r="N21" s="6">
        <f t="shared" si="6"/>
        <v>84.087876570313455</v>
      </c>
      <c r="O21" s="6">
        <f t="shared" si="6"/>
        <v>14.696426393462618</v>
      </c>
      <c r="P21" s="6">
        <f t="shared" si="6"/>
        <v>178.5792169776802</v>
      </c>
      <c r="Q21" s="6">
        <f t="shared" si="6"/>
        <v>194.27979021831931</v>
      </c>
      <c r="R21" s="6">
        <f t="shared" si="6"/>
        <v>147.39535309184046</v>
      </c>
      <c r="S21" s="6">
        <f t="shared" si="6"/>
        <v>72.646969142578357</v>
      </c>
      <c r="T21" s="6" t="e">
        <f t="shared" si="6"/>
        <v>#DIV/0!</v>
      </c>
      <c r="U21" s="6" t="e">
        <f t="shared" si="6"/>
        <v>#DIV/0!</v>
      </c>
      <c r="V21" s="6" t="e">
        <f t="shared" si="6"/>
        <v>#DIV/0!</v>
      </c>
      <c r="W21" s="6" t="e">
        <f t="shared" si="6"/>
        <v>#DIV/0!</v>
      </c>
      <c r="X21" s="9" t="e">
        <f t="shared" si="6"/>
        <v>#DIV/0!</v>
      </c>
      <c r="Y21" s="9" t="e">
        <f t="shared" si="6"/>
        <v>#DIV/0!</v>
      </c>
      <c r="Z21" s="9" t="e">
        <f t="shared" si="6"/>
        <v>#DIV/0!</v>
      </c>
      <c r="AA21" s="9" t="e">
        <f t="shared" si="6"/>
        <v>#DIV/0!</v>
      </c>
    </row>
    <row r="22" spans="1:27" ht="14.25" customHeight="1" x14ac:dyDescent="0.2">
      <c r="A22" s="8" t="s">
        <v>65</v>
      </c>
      <c r="B22" s="10">
        <f t="shared" ref="B22:AA22" si="7">B7/B9</f>
        <v>0.50060279942390762</v>
      </c>
      <c r="C22" s="10">
        <f t="shared" si="7"/>
        <v>0.3201204879589663</v>
      </c>
      <c r="D22" s="10">
        <f t="shared" si="7"/>
        <v>0.34294416776007525</v>
      </c>
      <c r="E22" s="10">
        <f t="shared" si="7"/>
        <v>0.37044311109524902</v>
      </c>
      <c r="F22" s="10">
        <f t="shared" si="7"/>
        <v>0.41803932182472631</v>
      </c>
      <c r="G22" s="10">
        <f t="shared" si="7"/>
        <v>0.37528737709829213</v>
      </c>
      <c r="H22" s="10">
        <f t="shared" si="7"/>
        <v>0.41296475297466051</v>
      </c>
      <c r="I22" s="10">
        <f t="shared" si="7"/>
        <v>0.48352164191669889</v>
      </c>
      <c r="J22" s="10">
        <f t="shared" si="7"/>
        <v>0.50687910578533102</v>
      </c>
      <c r="K22" s="10">
        <f t="shared" si="7"/>
        <v>0.56991231457315961</v>
      </c>
      <c r="L22" s="10">
        <f t="shared" si="7"/>
        <v>0.5161330327958944</v>
      </c>
      <c r="M22" s="10">
        <f t="shared" si="7"/>
        <v>0.44558119833945597</v>
      </c>
      <c r="N22" s="10">
        <f t="shared" si="7"/>
        <v>0.54840882662674273</v>
      </c>
      <c r="O22" s="10">
        <f t="shared" si="7"/>
        <v>0.55667726809048013</v>
      </c>
      <c r="P22" s="10">
        <f t="shared" si="7"/>
        <v>0.51387639439245358</v>
      </c>
      <c r="Q22" s="10">
        <f t="shared" si="7"/>
        <v>0.49092400264013669</v>
      </c>
      <c r="R22" s="10">
        <f t="shared" si="7"/>
        <v>0.51588854788657468</v>
      </c>
      <c r="S22" s="10">
        <f t="shared" si="7"/>
        <v>0.38163435220706637</v>
      </c>
      <c r="T22" s="10" t="e">
        <f t="shared" si="7"/>
        <v>#DIV/0!</v>
      </c>
      <c r="U22" s="10" t="e">
        <f t="shared" si="7"/>
        <v>#DIV/0!</v>
      </c>
      <c r="V22" s="10" t="e">
        <f t="shared" si="7"/>
        <v>#DIV/0!</v>
      </c>
      <c r="W22" s="10" t="e">
        <f t="shared" si="7"/>
        <v>#DIV/0!</v>
      </c>
      <c r="X22" s="10" t="e">
        <f t="shared" si="7"/>
        <v>#DIV/0!</v>
      </c>
      <c r="Y22" s="10" t="e">
        <f t="shared" si="7"/>
        <v>#DIV/0!</v>
      </c>
      <c r="Z22" s="10" t="e">
        <f t="shared" si="7"/>
        <v>#DIV/0!</v>
      </c>
      <c r="AA22" s="10" t="e">
        <f t="shared" si="7"/>
        <v>#DIV/0!</v>
      </c>
    </row>
    <row r="23" spans="1:27" ht="14.25" customHeight="1" x14ac:dyDescent="0.2"/>
    <row r="24" spans="1:27" ht="14.25" customHeight="1" x14ac:dyDescent="0.2">
      <c r="K24" s="17">
        <v>52380933000000</v>
      </c>
      <c r="L24" s="17">
        <v>30932743000000</v>
      </c>
      <c r="M24" s="17">
        <v>5368132000000</v>
      </c>
      <c r="N24" s="17">
        <v>17469626000000</v>
      </c>
      <c r="O24" s="17">
        <v>4832090000000</v>
      </c>
      <c r="P24" s="17">
        <v>34897180000000</v>
      </c>
      <c r="Q24" s="17">
        <v>3708330000000</v>
      </c>
      <c r="R24" s="17">
        <v>39418494000000</v>
      </c>
      <c r="S24" s="17">
        <v>1726556000000</v>
      </c>
      <c r="T24" s="17" t="s">
        <v>71</v>
      </c>
    </row>
    <row r="25" spans="1:27" ht="14.25" customHeight="1" x14ac:dyDescent="0.2"/>
    <row r="26" spans="1:27" ht="14.25" customHeight="1" x14ac:dyDescent="0.2">
      <c r="K26" s="17">
        <v>45857963000000</v>
      </c>
      <c r="L26" s="17">
        <v>24630760000000</v>
      </c>
      <c r="M26" s="17">
        <v>4460703000000</v>
      </c>
      <c r="N26" s="17">
        <v>11706869000000</v>
      </c>
      <c r="O26" s="17">
        <v>3480000000000</v>
      </c>
      <c r="P26" s="17">
        <v>34136370000000</v>
      </c>
      <c r="Q26" s="17">
        <v>5643863000000</v>
      </c>
      <c r="R26" s="17">
        <v>70704988000000</v>
      </c>
      <c r="S26" s="17">
        <v>5773901000000</v>
      </c>
      <c r="T26" s="17" t="s">
        <v>71</v>
      </c>
    </row>
    <row r="27" spans="1:27" ht="14.25" customHeight="1" x14ac:dyDescent="0.2">
      <c r="K27" s="17">
        <v>43716001000000</v>
      </c>
      <c r="L27" s="17">
        <v>22325382000000</v>
      </c>
      <c r="M27" s="17">
        <v>4186323000000</v>
      </c>
      <c r="N27" s="17">
        <v>11811932000000</v>
      </c>
      <c r="O27" s="17">
        <v>4250000000000</v>
      </c>
      <c r="P27" s="17">
        <v>31885954000000</v>
      </c>
      <c r="Q27" s="17">
        <v>3365043000000</v>
      </c>
      <c r="R27" s="17">
        <v>50604542000000</v>
      </c>
      <c r="S27" s="17">
        <v>4015120000000</v>
      </c>
      <c r="T27" s="17" t="s">
        <v>71</v>
      </c>
    </row>
    <row r="28" spans="1:27" ht="14.25" customHeight="1" x14ac:dyDescent="0.2">
      <c r="K28" s="17">
        <v>43149273000000</v>
      </c>
      <c r="L28" s="17">
        <v>21712537000000</v>
      </c>
      <c r="M28" s="17">
        <v>3381678000000</v>
      </c>
      <c r="N28" s="17">
        <v>12714801000000</v>
      </c>
      <c r="O28" s="17">
        <v>4777353000000</v>
      </c>
      <c r="P28" s="17">
        <v>30415323000000</v>
      </c>
      <c r="Q28" s="17">
        <v>1900390000000</v>
      </c>
      <c r="R28" s="17">
        <v>33061683000000</v>
      </c>
      <c r="S28" s="17">
        <v>2133968000000</v>
      </c>
      <c r="T28" s="17" t="s">
        <v>71</v>
      </c>
    </row>
    <row r="29" spans="1:27" ht="14.25" customHeight="1" x14ac:dyDescent="0.2">
      <c r="K29" s="17">
        <v>43765363000000</v>
      </c>
      <c r="L29" s="17">
        <v>22408711000000</v>
      </c>
      <c r="M29" s="17">
        <v>5773705000000</v>
      </c>
      <c r="N29" s="17">
        <v>11938263000000</v>
      </c>
      <c r="O29" s="17">
        <v>4400000000000</v>
      </c>
      <c r="P29" s="17">
        <v>31810990000000</v>
      </c>
      <c r="Q29" s="17">
        <v>1537031000000</v>
      </c>
      <c r="R29" s="17">
        <v>17704697000000</v>
      </c>
      <c r="S29" s="17">
        <v>2598615000000</v>
      </c>
      <c r="T29" s="17" t="s">
        <v>71</v>
      </c>
    </row>
    <row r="30" spans="1:27" ht="14.25" customHeight="1" x14ac:dyDescent="0.2"/>
    <row r="31" spans="1:27" ht="14.25" customHeight="1" x14ac:dyDescent="0.2"/>
    <row r="32" spans="1:27" ht="14.25" customHeight="1" x14ac:dyDescent="0.2"/>
    <row r="33" ht="14.25" customHeight="1" x14ac:dyDescent="0.2"/>
    <row r="34" ht="14.25" customHeight="1" x14ac:dyDescent="0.2"/>
    <row r="35" ht="14.25" customHeight="1" x14ac:dyDescent="0.2"/>
    <row r="36" ht="14.25" customHeight="1" x14ac:dyDescent="0.2"/>
    <row r="37" ht="14.25" customHeight="1" x14ac:dyDescent="0.2"/>
    <row r="38" ht="14.25" customHeight="1" x14ac:dyDescent="0.2"/>
    <row r="39" ht="14.25" customHeight="1" x14ac:dyDescent="0.2"/>
    <row r="40" ht="14.25" customHeight="1" x14ac:dyDescent="0.2"/>
    <row r="41" ht="14.25" customHeight="1" x14ac:dyDescent="0.2"/>
    <row r="42" ht="14.25" customHeight="1" x14ac:dyDescent="0.2"/>
    <row r="43" ht="14.25" customHeight="1" x14ac:dyDescent="0.2"/>
    <row r="44" ht="14.25" customHeight="1" x14ac:dyDescent="0.2"/>
    <row r="45" ht="14.25" customHeight="1" x14ac:dyDescent="0.2"/>
    <row r="46" ht="14.25" customHeight="1" x14ac:dyDescent="0.2"/>
    <row r="47" ht="14.25" customHeight="1" x14ac:dyDescent="0.2"/>
    <row r="48" ht="14.25" customHeight="1" x14ac:dyDescent="0.2"/>
    <row r="49" ht="14.25" customHeight="1" x14ac:dyDescent="0.2"/>
    <row r="50" ht="14.25" customHeight="1" x14ac:dyDescent="0.2"/>
    <row r="51" ht="14.25" customHeight="1" x14ac:dyDescent="0.2"/>
    <row r="52" ht="14.25" customHeight="1" x14ac:dyDescent="0.2"/>
    <row r="53" ht="14.25" customHeight="1" x14ac:dyDescent="0.2"/>
    <row r="54" ht="14.25" customHeight="1" x14ac:dyDescent="0.2"/>
    <row r="55" ht="14.25" customHeight="1" x14ac:dyDescent="0.2"/>
    <row r="56" ht="14.25" customHeight="1" x14ac:dyDescent="0.2"/>
    <row r="57" ht="14.25" customHeight="1" x14ac:dyDescent="0.2"/>
    <row r="58" ht="14.25" customHeight="1" x14ac:dyDescent="0.2"/>
    <row r="59" ht="14.25" customHeight="1" x14ac:dyDescent="0.2"/>
    <row r="60" ht="14.25" customHeight="1" x14ac:dyDescent="0.2"/>
    <row r="61" ht="14.25" customHeight="1" x14ac:dyDescent="0.2"/>
    <row r="62" ht="14.25" customHeight="1" x14ac:dyDescent="0.2"/>
    <row r="63" ht="14.25" customHeight="1" x14ac:dyDescent="0.2"/>
    <row r="64" ht="14.25" customHeight="1" x14ac:dyDescent="0.2"/>
    <row r="65" ht="14.25" customHeight="1" x14ac:dyDescent="0.2"/>
    <row r="66" ht="14.25" customHeight="1" x14ac:dyDescent="0.2"/>
    <row r="67" ht="14.25" customHeight="1" x14ac:dyDescent="0.2"/>
    <row r="68" ht="14.25" customHeight="1" x14ac:dyDescent="0.2"/>
    <row r="69" ht="14.25" customHeight="1" x14ac:dyDescent="0.2"/>
    <row r="70" ht="14.25" customHeight="1" x14ac:dyDescent="0.2"/>
    <row r="71" ht="14.25" customHeight="1" x14ac:dyDescent="0.2"/>
    <row r="72" ht="14.25" customHeight="1" x14ac:dyDescent="0.2"/>
    <row r="73" ht="14.25" customHeight="1" x14ac:dyDescent="0.2"/>
    <row r="74" ht="14.25" customHeight="1" x14ac:dyDescent="0.2"/>
    <row r="75" ht="14.25" customHeight="1" x14ac:dyDescent="0.2"/>
    <row r="76" ht="14.25" customHeight="1" x14ac:dyDescent="0.2"/>
    <row r="77" ht="14.25" customHeight="1" x14ac:dyDescent="0.2"/>
    <row r="78" ht="14.25" customHeight="1" x14ac:dyDescent="0.2"/>
    <row r="79" ht="14.25" customHeight="1" x14ac:dyDescent="0.2"/>
    <row r="80" ht="14.25" customHeight="1" x14ac:dyDescent="0.2"/>
    <row r="81" ht="14.25" customHeight="1" x14ac:dyDescent="0.2"/>
    <row r="82" ht="14.25" customHeight="1" x14ac:dyDescent="0.2"/>
    <row r="83" ht="14.25" customHeight="1" x14ac:dyDescent="0.2"/>
    <row r="84" ht="14.25" customHeight="1" x14ac:dyDescent="0.2"/>
    <row r="85" ht="14.25" customHeight="1" x14ac:dyDescent="0.2"/>
    <row r="86" ht="14.25" customHeight="1" x14ac:dyDescent="0.2"/>
    <row r="87" ht="14.25" customHeight="1" x14ac:dyDescent="0.2"/>
    <row r="88" ht="14.25" customHeight="1" x14ac:dyDescent="0.2"/>
    <row r="89" ht="14.25" customHeight="1" x14ac:dyDescent="0.2"/>
    <row r="90" ht="14.25" customHeight="1" x14ac:dyDescent="0.2"/>
    <row r="91" ht="14.25" customHeight="1" x14ac:dyDescent="0.2"/>
    <row r="92" ht="14.25" customHeight="1" x14ac:dyDescent="0.2"/>
    <row r="93" ht="14.25" customHeight="1" x14ac:dyDescent="0.2"/>
    <row r="94" ht="14.25" customHeight="1" x14ac:dyDescent="0.2"/>
    <row r="95" ht="14.25" customHeight="1" x14ac:dyDescent="0.2"/>
    <row r="96" ht="14.25" customHeight="1" x14ac:dyDescent="0.2"/>
    <row r="97" ht="14.25" customHeight="1" x14ac:dyDescent="0.2"/>
    <row r="98" ht="14.25" customHeight="1" x14ac:dyDescent="0.2"/>
    <row r="99" ht="14.25" customHeight="1" x14ac:dyDescent="0.2"/>
    <row r="100" ht="14.25" customHeight="1" x14ac:dyDescent="0.2"/>
    <row r="101" ht="14.25" customHeight="1" x14ac:dyDescent="0.2"/>
    <row r="102" ht="14.25" customHeight="1" x14ac:dyDescent="0.2"/>
    <row r="103" ht="14.25" customHeight="1" x14ac:dyDescent="0.2"/>
    <row r="104" ht="14.25" customHeight="1" x14ac:dyDescent="0.2"/>
    <row r="105" ht="14.25" customHeight="1" x14ac:dyDescent="0.2"/>
    <row r="106" ht="14.25" customHeight="1" x14ac:dyDescent="0.2"/>
    <row r="107" ht="14.25" customHeight="1" x14ac:dyDescent="0.2"/>
    <row r="108" ht="14.25" customHeight="1" x14ac:dyDescent="0.2"/>
    <row r="109" ht="14.25" customHeight="1" x14ac:dyDescent="0.2"/>
    <row r="110" ht="14.25" customHeight="1" x14ac:dyDescent="0.2"/>
    <row r="111" ht="14.25" customHeight="1" x14ac:dyDescent="0.2"/>
    <row r="112" ht="14.25" customHeight="1" x14ac:dyDescent="0.2"/>
    <row r="113" ht="14.25" customHeight="1" x14ac:dyDescent="0.2"/>
    <row r="114" ht="14.25" customHeight="1" x14ac:dyDescent="0.2"/>
    <row r="115" ht="14.25" customHeight="1" x14ac:dyDescent="0.2"/>
    <row r="116" ht="14.25" customHeight="1" x14ac:dyDescent="0.2"/>
    <row r="117" ht="14.25" customHeight="1" x14ac:dyDescent="0.2"/>
    <row r="118" ht="14.25" customHeight="1" x14ac:dyDescent="0.2"/>
    <row r="119" ht="14.25" customHeight="1" x14ac:dyDescent="0.2"/>
    <row r="120" ht="14.25" customHeight="1" x14ac:dyDescent="0.2"/>
    <row r="121" ht="14.25" customHeight="1" x14ac:dyDescent="0.2"/>
    <row r="122" ht="14.25" customHeight="1" x14ac:dyDescent="0.2"/>
    <row r="123" ht="14.25" customHeight="1" x14ac:dyDescent="0.2"/>
    <row r="124" ht="14.25" customHeight="1" x14ac:dyDescent="0.2"/>
    <row r="125" ht="14.25" customHeight="1" x14ac:dyDescent="0.2"/>
    <row r="126" ht="14.25" customHeight="1" x14ac:dyDescent="0.2"/>
    <row r="127" ht="14.25" customHeight="1" x14ac:dyDescent="0.2"/>
    <row r="128" ht="14.25" customHeight="1" x14ac:dyDescent="0.2"/>
    <row r="129" ht="14.25" customHeight="1" x14ac:dyDescent="0.2"/>
    <row r="130" ht="14.25" customHeight="1" x14ac:dyDescent="0.2"/>
    <row r="131" ht="14.25" customHeight="1" x14ac:dyDescent="0.2"/>
    <row r="132" ht="14.25" customHeight="1" x14ac:dyDescent="0.2"/>
    <row r="133" ht="14.25" customHeight="1" x14ac:dyDescent="0.2"/>
    <row r="134" ht="14.25" customHeight="1" x14ac:dyDescent="0.2"/>
    <row r="135" ht="14.25" customHeight="1" x14ac:dyDescent="0.2"/>
    <row r="136" ht="14.25" customHeight="1" x14ac:dyDescent="0.2"/>
    <row r="137" ht="14.25" customHeight="1" x14ac:dyDescent="0.2"/>
    <row r="138" ht="14.25" customHeight="1" x14ac:dyDescent="0.2"/>
    <row r="139" ht="14.25" customHeight="1" x14ac:dyDescent="0.2"/>
    <row r="140" ht="14.25" customHeight="1" x14ac:dyDescent="0.2"/>
    <row r="141" ht="14.25" customHeight="1" x14ac:dyDescent="0.2"/>
    <row r="142" ht="14.25" customHeight="1" x14ac:dyDescent="0.2"/>
    <row r="143" ht="14.25" customHeight="1" x14ac:dyDescent="0.2"/>
    <row r="144" ht="14.25" customHeight="1" x14ac:dyDescent="0.2"/>
    <row r="145" ht="14.25" customHeight="1" x14ac:dyDescent="0.2"/>
    <row r="146" ht="14.25" customHeight="1" x14ac:dyDescent="0.2"/>
    <row r="147" ht="14.25" customHeight="1" x14ac:dyDescent="0.2"/>
    <row r="148" ht="14.25" customHeight="1" x14ac:dyDescent="0.2"/>
    <row r="149" ht="14.25" customHeight="1" x14ac:dyDescent="0.2"/>
    <row r="150" ht="14.25" customHeight="1" x14ac:dyDescent="0.2"/>
    <row r="151" ht="14.25" customHeight="1" x14ac:dyDescent="0.2"/>
    <row r="152" ht="14.25" customHeight="1" x14ac:dyDescent="0.2"/>
    <row r="153" ht="14.25" customHeight="1" x14ac:dyDescent="0.2"/>
    <row r="154" ht="14.25" customHeight="1" x14ac:dyDescent="0.2"/>
    <row r="155" ht="14.25" customHeight="1" x14ac:dyDescent="0.2"/>
    <row r="156" ht="14.25" customHeight="1" x14ac:dyDescent="0.2"/>
    <row r="157" ht="14.25" customHeight="1" x14ac:dyDescent="0.2"/>
    <row r="158" ht="14.25" customHeight="1" x14ac:dyDescent="0.2"/>
    <row r="159" ht="14.25" customHeight="1" x14ac:dyDescent="0.2"/>
    <row r="160" ht="14.25" customHeight="1" x14ac:dyDescent="0.2"/>
    <row r="161" ht="14.25" customHeight="1" x14ac:dyDescent="0.2"/>
    <row r="162" ht="14.25" customHeight="1" x14ac:dyDescent="0.2"/>
    <row r="163" ht="14.25" customHeight="1" x14ac:dyDescent="0.2"/>
    <row r="164" ht="14.25" customHeight="1" x14ac:dyDescent="0.2"/>
    <row r="165" ht="14.25" customHeight="1" x14ac:dyDescent="0.2"/>
    <row r="166" ht="14.25" customHeight="1" x14ac:dyDescent="0.2"/>
    <row r="167" ht="14.25" customHeight="1" x14ac:dyDescent="0.2"/>
    <row r="168" ht="14.25" customHeight="1" x14ac:dyDescent="0.2"/>
    <row r="169" ht="14.25" customHeight="1" x14ac:dyDescent="0.2"/>
    <row r="170" ht="14.25" customHeight="1" x14ac:dyDescent="0.2"/>
    <row r="171" ht="14.25" customHeight="1" x14ac:dyDescent="0.2"/>
    <row r="172" ht="14.25" customHeight="1" x14ac:dyDescent="0.2"/>
    <row r="173" ht="14.25" customHeight="1" x14ac:dyDescent="0.2"/>
    <row r="174" ht="14.25" customHeight="1" x14ac:dyDescent="0.2"/>
    <row r="175" ht="14.25" customHeight="1" x14ac:dyDescent="0.2"/>
    <row r="176" ht="14.25" customHeight="1" x14ac:dyDescent="0.2"/>
    <row r="177" ht="14.25" customHeight="1" x14ac:dyDescent="0.2"/>
    <row r="178" ht="14.25" customHeight="1" x14ac:dyDescent="0.2"/>
    <row r="179" ht="14.25" customHeight="1" x14ac:dyDescent="0.2"/>
    <row r="180" ht="14.25" customHeight="1" x14ac:dyDescent="0.2"/>
    <row r="181" ht="14.25" customHeight="1" x14ac:dyDescent="0.2"/>
    <row r="182" ht="14.25" customHeight="1" x14ac:dyDescent="0.2"/>
    <row r="183" ht="14.25" customHeight="1" x14ac:dyDescent="0.2"/>
    <row r="184" ht="14.25" customHeight="1" x14ac:dyDescent="0.2"/>
    <row r="185" ht="14.25" customHeight="1" x14ac:dyDescent="0.2"/>
    <row r="186" ht="14.25" customHeight="1" x14ac:dyDescent="0.2"/>
    <row r="187" ht="14.25" customHeight="1" x14ac:dyDescent="0.2"/>
    <row r="188" ht="14.25" customHeight="1" x14ac:dyDescent="0.2"/>
    <row r="189" ht="14.25" customHeight="1" x14ac:dyDescent="0.2"/>
    <row r="190" ht="14.25" customHeight="1" x14ac:dyDescent="0.2"/>
    <row r="191" ht="14.25" customHeight="1" x14ac:dyDescent="0.2"/>
    <row r="192" ht="14.25" customHeight="1" x14ac:dyDescent="0.2"/>
    <row r="193" ht="14.25" customHeight="1" x14ac:dyDescent="0.2"/>
    <row r="194" ht="14.25" customHeight="1" x14ac:dyDescent="0.2"/>
    <row r="195" ht="14.25" customHeight="1" x14ac:dyDescent="0.2"/>
    <row r="196" ht="14.25" customHeight="1" x14ac:dyDescent="0.2"/>
    <row r="197" ht="14.25" customHeight="1" x14ac:dyDescent="0.2"/>
    <row r="198" ht="14.25" customHeight="1" x14ac:dyDescent="0.2"/>
    <row r="199" ht="14.25" customHeight="1" x14ac:dyDescent="0.2"/>
    <row r="200" ht="14.25" customHeight="1" x14ac:dyDescent="0.2"/>
    <row r="201" ht="14.25" customHeight="1" x14ac:dyDescent="0.2"/>
    <row r="202" ht="14.25" customHeight="1" x14ac:dyDescent="0.2"/>
    <row r="203" ht="14.25" customHeight="1" x14ac:dyDescent="0.2"/>
    <row r="204" ht="14.25" customHeight="1" x14ac:dyDescent="0.2"/>
    <row r="205" ht="14.25" customHeight="1" x14ac:dyDescent="0.2"/>
    <row r="206" ht="14.25" customHeight="1" x14ac:dyDescent="0.2"/>
    <row r="207" ht="14.25" customHeight="1" x14ac:dyDescent="0.2"/>
    <row r="208" ht="14.25" customHeight="1" x14ac:dyDescent="0.2"/>
    <row r="209" ht="14.25" customHeight="1" x14ac:dyDescent="0.2"/>
    <row r="210" ht="14.25" customHeight="1" x14ac:dyDescent="0.2"/>
    <row r="211" ht="14.25" customHeight="1" x14ac:dyDescent="0.2"/>
    <row r="212" ht="14.25" customHeight="1" x14ac:dyDescent="0.2"/>
    <row r="213" ht="14.25" customHeight="1" x14ac:dyDescent="0.2"/>
    <row r="214" ht="14.25" customHeight="1" x14ac:dyDescent="0.2"/>
    <row r="215" ht="14.25" customHeight="1" x14ac:dyDescent="0.2"/>
    <row r="216" ht="14.25" customHeight="1" x14ac:dyDescent="0.2"/>
    <row r="217" ht="14.25" customHeight="1" x14ac:dyDescent="0.2"/>
    <row r="218" ht="14.25" customHeight="1" x14ac:dyDescent="0.2"/>
    <row r="219" ht="14.25" customHeight="1" x14ac:dyDescent="0.2"/>
    <row r="220" ht="14.25" customHeight="1" x14ac:dyDescent="0.2"/>
    <row r="221" ht="14.25" customHeight="1" x14ac:dyDescent="0.2"/>
    <row r="222" ht="14.25" customHeight="1" x14ac:dyDescent="0.2"/>
    <row r="223" ht="14.25" customHeight="1" x14ac:dyDescent="0.2"/>
    <row r="224" ht="14.25" customHeight="1" x14ac:dyDescent="0.2"/>
    <row r="225" ht="14.25" customHeight="1" x14ac:dyDescent="0.2"/>
    <row r="226" ht="14.25" customHeight="1" x14ac:dyDescent="0.2"/>
    <row r="227" ht="14.25" customHeight="1" x14ac:dyDescent="0.2"/>
    <row r="228" ht="14.25" customHeight="1" x14ac:dyDescent="0.2"/>
    <row r="229" ht="14.25" customHeight="1" x14ac:dyDescent="0.2"/>
    <row r="230" ht="14.25" customHeight="1" x14ac:dyDescent="0.2"/>
    <row r="231" ht="14.25" customHeight="1" x14ac:dyDescent="0.2"/>
    <row r="232" ht="14.25" customHeight="1" x14ac:dyDescent="0.2"/>
    <row r="233" ht="14.25" customHeight="1" x14ac:dyDescent="0.2"/>
    <row r="234" ht="14.25" customHeight="1" x14ac:dyDescent="0.2"/>
    <row r="235" ht="14.25" customHeight="1" x14ac:dyDescent="0.2"/>
    <row r="236" ht="14.25" customHeight="1" x14ac:dyDescent="0.2"/>
    <row r="237" ht="14.25" customHeight="1" x14ac:dyDescent="0.2"/>
    <row r="238" ht="14.25" customHeight="1" x14ac:dyDescent="0.2"/>
    <row r="239" ht="14.25" customHeight="1" x14ac:dyDescent="0.2"/>
    <row r="240" ht="14.25" customHeight="1" x14ac:dyDescent="0.2"/>
    <row r="241" ht="14.25" customHeight="1" x14ac:dyDescent="0.2"/>
    <row r="242" ht="14.25" customHeight="1" x14ac:dyDescent="0.2"/>
    <row r="243" ht="14.25" customHeight="1" x14ac:dyDescent="0.2"/>
    <row r="244" ht="14.25" customHeight="1" x14ac:dyDescent="0.2"/>
    <row r="245" ht="14.25" customHeight="1" x14ac:dyDescent="0.2"/>
    <row r="246" ht="14.25" customHeight="1" x14ac:dyDescent="0.2"/>
    <row r="247" ht="14.25" customHeight="1" x14ac:dyDescent="0.2"/>
    <row r="248" ht="14.25" customHeight="1" x14ac:dyDescent="0.2"/>
    <row r="249" ht="14.25" customHeight="1" x14ac:dyDescent="0.2"/>
    <row r="250" ht="14.25" customHeight="1" x14ac:dyDescent="0.2"/>
    <row r="251" ht="14.25" customHeight="1" x14ac:dyDescent="0.2"/>
    <row r="252" ht="14.25" customHeight="1" x14ac:dyDescent="0.2"/>
    <row r="253" ht="14.25" customHeight="1" x14ac:dyDescent="0.2"/>
    <row r="254" ht="14.25" customHeight="1" x14ac:dyDescent="0.2"/>
    <row r="255" ht="14.25" customHeight="1" x14ac:dyDescent="0.2"/>
    <row r="256" ht="14.25" customHeight="1" x14ac:dyDescent="0.2"/>
    <row r="257" ht="14.25" customHeight="1" x14ac:dyDescent="0.2"/>
    <row r="258" ht="14.25" customHeight="1" x14ac:dyDescent="0.2"/>
    <row r="259" ht="14.25" customHeight="1" x14ac:dyDescent="0.2"/>
    <row r="260" ht="14.25" customHeight="1" x14ac:dyDescent="0.2"/>
    <row r="261" ht="14.25" customHeight="1" x14ac:dyDescent="0.2"/>
    <row r="262" ht="14.25" customHeight="1" x14ac:dyDescent="0.2"/>
    <row r="263" ht="14.25" customHeight="1" x14ac:dyDescent="0.2"/>
    <row r="264" ht="14.25" customHeight="1" x14ac:dyDescent="0.2"/>
    <row r="265" ht="14.25" customHeight="1" x14ac:dyDescent="0.2"/>
    <row r="266" ht="14.25" customHeight="1" x14ac:dyDescent="0.2"/>
    <row r="267" ht="14.25" customHeight="1" x14ac:dyDescent="0.2"/>
    <row r="268" ht="14.25" customHeight="1" x14ac:dyDescent="0.2"/>
    <row r="269" ht="14.25" customHeight="1" x14ac:dyDescent="0.2"/>
    <row r="270" ht="14.25" customHeight="1" x14ac:dyDescent="0.2"/>
    <row r="271" ht="14.25" customHeight="1" x14ac:dyDescent="0.2"/>
    <row r="272" ht="14.25" customHeight="1" x14ac:dyDescent="0.2"/>
    <row r="273" ht="14.25" customHeight="1" x14ac:dyDescent="0.2"/>
    <row r="274" ht="14.25" customHeight="1" x14ac:dyDescent="0.2"/>
    <row r="275" ht="14.25" customHeight="1" x14ac:dyDescent="0.2"/>
    <row r="276" ht="14.25" customHeight="1" x14ac:dyDescent="0.2"/>
    <row r="277" ht="14.25" customHeight="1" x14ac:dyDescent="0.2"/>
    <row r="278" ht="14.25" customHeight="1" x14ac:dyDescent="0.2"/>
    <row r="279" ht="14.25" customHeight="1" x14ac:dyDescent="0.2"/>
    <row r="280" ht="14.25" customHeight="1" x14ac:dyDescent="0.2"/>
    <row r="281" ht="14.25" customHeight="1" x14ac:dyDescent="0.2"/>
    <row r="282" ht="14.25" customHeight="1" x14ac:dyDescent="0.2"/>
    <row r="283" ht="14.25" customHeight="1" x14ac:dyDescent="0.2"/>
    <row r="284" ht="14.25" customHeight="1" x14ac:dyDescent="0.2"/>
    <row r="285" ht="14.25" customHeight="1" x14ac:dyDescent="0.2"/>
    <row r="286" ht="14.25" customHeight="1" x14ac:dyDescent="0.2"/>
    <row r="287" ht="14.25" customHeight="1" x14ac:dyDescent="0.2"/>
    <row r="288" ht="14.25" customHeight="1" x14ac:dyDescent="0.2"/>
    <row r="289" ht="14.25" customHeight="1" x14ac:dyDescent="0.2"/>
    <row r="290" ht="14.25" customHeight="1" x14ac:dyDescent="0.2"/>
    <row r="291" ht="14.25" customHeight="1" x14ac:dyDescent="0.2"/>
    <row r="292" ht="14.25" customHeight="1" x14ac:dyDescent="0.2"/>
    <row r="293" ht="14.25" customHeight="1" x14ac:dyDescent="0.2"/>
    <row r="294" ht="14.25" customHeight="1" x14ac:dyDescent="0.2"/>
    <row r="295" ht="14.25" customHeight="1" x14ac:dyDescent="0.2"/>
    <row r="296" ht="14.25" customHeight="1" x14ac:dyDescent="0.2"/>
    <row r="297" ht="14.25" customHeight="1" x14ac:dyDescent="0.2"/>
    <row r="298" ht="14.25" customHeight="1" x14ac:dyDescent="0.2"/>
    <row r="299" ht="14.25" customHeight="1" x14ac:dyDescent="0.2"/>
    <row r="300" ht="14.25" customHeight="1" x14ac:dyDescent="0.2"/>
    <row r="301" ht="14.25" customHeight="1" x14ac:dyDescent="0.2"/>
    <row r="302" ht="14.25" customHeight="1" x14ac:dyDescent="0.2"/>
    <row r="303" ht="14.25" customHeight="1" x14ac:dyDescent="0.2"/>
    <row r="304" ht="14.25" customHeight="1" x14ac:dyDescent="0.2"/>
    <row r="305" ht="14.25" customHeight="1" x14ac:dyDescent="0.2"/>
    <row r="306" ht="14.25" customHeight="1" x14ac:dyDescent="0.2"/>
    <row r="307" ht="14.25" customHeight="1" x14ac:dyDescent="0.2"/>
    <row r="308" ht="14.25" customHeight="1" x14ac:dyDescent="0.2"/>
    <row r="309" ht="14.25" customHeight="1" x14ac:dyDescent="0.2"/>
    <row r="310" ht="14.25" customHeight="1" x14ac:dyDescent="0.2"/>
    <row r="311" ht="14.25" customHeight="1" x14ac:dyDescent="0.2"/>
    <row r="312" ht="14.25" customHeight="1" x14ac:dyDescent="0.2"/>
    <row r="313" ht="14.25" customHeight="1" x14ac:dyDescent="0.2"/>
    <row r="314" ht="14.25" customHeight="1" x14ac:dyDescent="0.2"/>
    <row r="315" ht="14.25" customHeight="1" x14ac:dyDescent="0.2"/>
    <row r="316" ht="14.25" customHeight="1" x14ac:dyDescent="0.2"/>
    <row r="317" ht="14.25" customHeight="1" x14ac:dyDescent="0.2"/>
    <row r="318" ht="14.25" customHeight="1" x14ac:dyDescent="0.2"/>
    <row r="319" ht="14.25" customHeight="1" x14ac:dyDescent="0.2"/>
    <row r="320" ht="14.25" customHeight="1" x14ac:dyDescent="0.2"/>
    <row r="321" ht="14.25" customHeight="1" x14ac:dyDescent="0.2"/>
    <row r="322" ht="14.25" customHeight="1" x14ac:dyDescent="0.2"/>
    <row r="323" ht="14.25" customHeight="1" x14ac:dyDescent="0.2"/>
    <row r="324" ht="14.25" customHeight="1" x14ac:dyDescent="0.2"/>
    <row r="325" ht="14.25" customHeight="1" x14ac:dyDescent="0.2"/>
    <row r="326" ht="14.25" customHeight="1" x14ac:dyDescent="0.2"/>
    <row r="327" ht="14.25" customHeight="1" x14ac:dyDescent="0.2"/>
    <row r="328" ht="14.25" customHeight="1" x14ac:dyDescent="0.2"/>
    <row r="329" ht="14.25" customHeight="1" x14ac:dyDescent="0.2"/>
    <row r="330" ht="14.25" customHeight="1" x14ac:dyDescent="0.2"/>
    <row r="331" ht="14.25" customHeight="1" x14ac:dyDescent="0.2"/>
    <row r="332" ht="14.25" customHeight="1" x14ac:dyDescent="0.2"/>
    <row r="333" ht="14.25" customHeight="1" x14ac:dyDescent="0.2"/>
    <row r="334" ht="14.25" customHeight="1" x14ac:dyDescent="0.2"/>
    <row r="335" ht="14.25" customHeight="1" x14ac:dyDescent="0.2"/>
    <row r="336" ht="14.25" customHeight="1" x14ac:dyDescent="0.2"/>
    <row r="337" ht="14.25" customHeight="1" x14ac:dyDescent="0.2"/>
    <row r="338" ht="14.25" customHeight="1" x14ac:dyDescent="0.2"/>
    <row r="339" ht="14.25" customHeight="1" x14ac:dyDescent="0.2"/>
    <row r="340" ht="14.25" customHeight="1" x14ac:dyDescent="0.2"/>
    <row r="341" ht="14.25" customHeight="1" x14ac:dyDescent="0.2"/>
    <row r="342" ht="14.25" customHeight="1" x14ac:dyDescent="0.2"/>
    <row r="343" ht="14.25" customHeight="1" x14ac:dyDescent="0.2"/>
    <row r="344" ht="14.25" customHeight="1" x14ac:dyDescent="0.2"/>
    <row r="345" ht="14.25" customHeight="1" x14ac:dyDescent="0.2"/>
    <row r="346" ht="14.25" customHeight="1" x14ac:dyDescent="0.2"/>
    <row r="347" ht="14.25" customHeight="1" x14ac:dyDescent="0.2"/>
    <row r="348" ht="14.25" customHeight="1" x14ac:dyDescent="0.2"/>
    <row r="349" ht="14.25" customHeight="1" x14ac:dyDescent="0.2"/>
    <row r="350" ht="14.25" customHeight="1" x14ac:dyDescent="0.2"/>
    <row r="351" ht="14.25" customHeight="1" x14ac:dyDescent="0.2"/>
    <row r="352" ht="14.25" customHeight="1" x14ac:dyDescent="0.2"/>
    <row r="353" ht="14.25" customHeight="1" x14ac:dyDescent="0.2"/>
    <row r="354" ht="14.25" customHeight="1" x14ac:dyDescent="0.2"/>
    <row r="355" ht="14.25" customHeight="1" x14ac:dyDescent="0.2"/>
    <row r="356" ht="14.25" customHeight="1" x14ac:dyDescent="0.2"/>
    <row r="357" ht="14.25" customHeight="1" x14ac:dyDescent="0.2"/>
    <row r="358" ht="14.25" customHeight="1" x14ac:dyDescent="0.2"/>
    <row r="359" ht="14.25" customHeight="1" x14ac:dyDescent="0.2"/>
    <row r="360" ht="14.25" customHeight="1" x14ac:dyDescent="0.2"/>
    <row r="361" ht="14.25" customHeight="1" x14ac:dyDescent="0.2"/>
    <row r="362" ht="14.25" customHeight="1" x14ac:dyDescent="0.2"/>
    <row r="363" ht="14.25" customHeight="1" x14ac:dyDescent="0.2"/>
    <row r="364" ht="14.25" customHeight="1" x14ac:dyDescent="0.2"/>
    <row r="365" ht="14.25" customHeight="1" x14ac:dyDescent="0.2"/>
    <row r="366" ht="14.25" customHeight="1" x14ac:dyDescent="0.2"/>
    <row r="367" ht="14.25" customHeight="1" x14ac:dyDescent="0.2"/>
    <row r="368" ht="14.25" customHeight="1" x14ac:dyDescent="0.2"/>
    <row r="369" ht="14.25" customHeight="1" x14ac:dyDescent="0.2"/>
    <row r="370" ht="14.25" customHeight="1" x14ac:dyDescent="0.2"/>
    <row r="371" ht="14.25" customHeight="1" x14ac:dyDescent="0.2"/>
    <row r="372" ht="14.25" customHeight="1" x14ac:dyDescent="0.2"/>
    <row r="373" ht="14.25" customHeight="1" x14ac:dyDescent="0.2"/>
    <row r="374" ht="14.25" customHeight="1" x14ac:dyDescent="0.2"/>
    <row r="375" ht="14.25" customHeight="1" x14ac:dyDescent="0.2"/>
    <row r="376" ht="14.25" customHeight="1" x14ac:dyDescent="0.2"/>
    <row r="377" ht="14.25" customHeight="1" x14ac:dyDescent="0.2"/>
    <row r="378" ht="14.25" customHeight="1" x14ac:dyDescent="0.2"/>
    <row r="379" ht="14.25" customHeight="1" x14ac:dyDescent="0.2"/>
    <row r="380" ht="14.25" customHeight="1" x14ac:dyDescent="0.2"/>
    <row r="381" ht="14.25" customHeight="1" x14ac:dyDescent="0.2"/>
    <row r="382" ht="14.25" customHeight="1" x14ac:dyDescent="0.2"/>
    <row r="383" ht="14.25" customHeight="1" x14ac:dyDescent="0.2"/>
    <row r="384" ht="14.25" customHeight="1" x14ac:dyDescent="0.2"/>
    <row r="385" ht="14.25" customHeight="1" x14ac:dyDescent="0.2"/>
    <row r="386" ht="14.25" customHeight="1" x14ac:dyDescent="0.2"/>
    <row r="387" ht="14.25" customHeight="1" x14ac:dyDescent="0.2"/>
    <row r="388" ht="14.25" customHeight="1" x14ac:dyDescent="0.2"/>
    <row r="389" ht="14.25" customHeight="1" x14ac:dyDescent="0.2"/>
    <row r="390" ht="14.25" customHeight="1" x14ac:dyDescent="0.2"/>
    <row r="391" ht="14.25" customHeight="1" x14ac:dyDescent="0.2"/>
    <row r="392" ht="14.25" customHeight="1" x14ac:dyDescent="0.2"/>
    <row r="393" ht="14.25" customHeight="1" x14ac:dyDescent="0.2"/>
    <row r="394" ht="14.25" customHeight="1" x14ac:dyDescent="0.2"/>
    <row r="395" ht="14.25" customHeight="1" x14ac:dyDescent="0.2"/>
    <row r="396" ht="14.25" customHeight="1" x14ac:dyDescent="0.2"/>
    <row r="397" ht="14.25" customHeight="1" x14ac:dyDescent="0.2"/>
    <row r="398" ht="14.25" customHeight="1" x14ac:dyDescent="0.2"/>
    <row r="399" ht="14.25" customHeight="1" x14ac:dyDescent="0.2"/>
    <row r="400" ht="14.25" customHeight="1" x14ac:dyDescent="0.2"/>
    <row r="401" ht="14.25" customHeight="1" x14ac:dyDescent="0.2"/>
    <row r="402" ht="14.25" customHeight="1" x14ac:dyDescent="0.2"/>
    <row r="403" ht="14.25" customHeight="1" x14ac:dyDescent="0.2"/>
    <row r="404" ht="14.25" customHeight="1" x14ac:dyDescent="0.2"/>
    <row r="405" ht="14.25" customHeight="1" x14ac:dyDescent="0.2"/>
    <row r="406" ht="14.25" customHeight="1" x14ac:dyDescent="0.2"/>
    <row r="407" ht="14.25" customHeight="1" x14ac:dyDescent="0.2"/>
    <row r="408" ht="14.25" customHeight="1" x14ac:dyDescent="0.2"/>
    <row r="409" ht="14.25" customHeight="1" x14ac:dyDescent="0.2"/>
    <row r="410" ht="14.25" customHeight="1" x14ac:dyDescent="0.2"/>
    <row r="411" ht="14.25" customHeight="1" x14ac:dyDescent="0.2"/>
    <row r="412" ht="14.25" customHeight="1" x14ac:dyDescent="0.2"/>
    <row r="413" ht="14.25" customHeight="1" x14ac:dyDescent="0.2"/>
    <row r="414" ht="14.25" customHeight="1" x14ac:dyDescent="0.2"/>
    <row r="415" ht="14.25" customHeight="1" x14ac:dyDescent="0.2"/>
    <row r="416" ht="14.25" customHeight="1" x14ac:dyDescent="0.2"/>
    <row r="417" ht="14.25" customHeight="1" x14ac:dyDescent="0.2"/>
    <row r="418" ht="14.25" customHeight="1" x14ac:dyDescent="0.2"/>
    <row r="419" ht="14.25" customHeight="1" x14ac:dyDescent="0.2"/>
    <row r="420" ht="14.25" customHeight="1" x14ac:dyDescent="0.2"/>
    <row r="421" ht="14.25" customHeight="1" x14ac:dyDescent="0.2"/>
    <row r="422" ht="14.25" customHeight="1" x14ac:dyDescent="0.2"/>
    <row r="423" ht="14.25" customHeight="1" x14ac:dyDescent="0.2"/>
    <row r="424" ht="14.25" customHeight="1" x14ac:dyDescent="0.2"/>
    <row r="425" ht="14.25" customHeight="1" x14ac:dyDescent="0.2"/>
    <row r="426" ht="14.25" customHeight="1" x14ac:dyDescent="0.2"/>
    <row r="427" ht="14.25" customHeight="1" x14ac:dyDescent="0.2"/>
    <row r="428" ht="14.25" customHeight="1" x14ac:dyDescent="0.2"/>
    <row r="429" ht="14.25" customHeight="1" x14ac:dyDescent="0.2"/>
    <row r="430" ht="14.25" customHeight="1" x14ac:dyDescent="0.2"/>
    <row r="431" ht="14.25" customHeight="1" x14ac:dyDescent="0.2"/>
    <row r="432" ht="14.25" customHeight="1" x14ac:dyDescent="0.2"/>
    <row r="433" ht="14.25" customHeight="1" x14ac:dyDescent="0.2"/>
    <row r="434" ht="14.25" customHeight="1" x14ac:dyDescent="0.2"/>
    <row r="435" ht="14.25" customHeight="1" x14ac:dyDescent="0.2"/>
    <row r="436" ht="14.25" customHeight="1" x14ac:dyDescent="0.2"/>
    <row r="437" ht="14.25" customHeight="1" x14ac:dyDescent="0.2"/>
    <row r="438" ht="14.25" customHeight="1" x14ac:dyDescent="0.2"/>
    <row r="439" ht="14.25" customHeight="1" x14ac:dyDescent="0.2"/>
    <row r="440" ht="14.25" customHeight="1" x14ac:dyDescent="0.2"/>
    <row r="441" ht="14.25" customHeight="1" x14ac:dyDescent="0.2"/>
    <row r="442" ht="14.25" customHeight="1" x14ac:dyDescent="0.2"/>
    <row r="443" ht="14.25" customHeight="1" x14ac:dyDescent="0.2"/>
    <row r="444" ht="14.25" customHeight="1" x14ac:dyDescent="0.2"/>
    <row r="445" ht="14.25" customHeight="1" x14ac:dyDescent="0.2"/>
    <row r="446" ht="14.25" customHeight="1" x14ac:dyDescent="0.2"/>
    <row r="447" ht="14.25" customHeight="1" x14ac:dyDescent="0.2"/>
    <row r="448" ht="14.25" customHeight="1" x14ac:dyDescent="0.2"/>
    <row r="449" ht="14.25" customHeight="1" x14ac:dyDescent="0.2"/>
    <row r="450" ht="14.25" customHeight="1" x14ac:dyDescent="0.2"/>
    <row r="451" ht="14.25" customHeight="1" x14ac:dyDescent="0.2"/>
    <row r="452" ht="14.25" customHeight="1" x14ac:dyDescent="0.2"/>
    <row r="453" ht="14.25" customHeight="1" x14ac:dyDescent="0.2"/>
    <row r="454" ht="14.25" customHeight="1" x14ac:dyDescent="0.2"/>
    <row r="455" ht="14.25" customHeight="1" x14ac:dyDescent="0.2"/>
    <row r="456" ht="14.25" customHeight="1" x14ac:dyDescent="0.2"/>
    <row r="457" ht="14.25" customHeight="1" x14ac:dyDescent="0.2"/>
    <row r="458" ht="14.25" customHeight="1" x14ac:dyDescent="0.2"/>
    <row r="459" ht="14.25" customHeight="1" x14ac:dyDescent="0.2"/>
    <row r="460" ht="14.25" customHeight="1" x14ac:dyDescent="0.2"/>
    <row r="461" ht="14.25" customHeight="1" x14ac:dyDescent="0.2"/>
    <row r="462" ht="14.25" customHeight="1" x14ac:dyDescent="0.2"/>
    <row r="463" ht="14.25" customHeight="1" x14ac:dyDescent="0.2"/>
    <row r="464" ht="14.25" customHeight="1" x14ac:dyDescent="0.2"/>
    <row r="465" ht="14.25" customHeight="1" x14ac:dyDescent="0.2"/>
    <row r="466" ht="14.25" customHeight="1" x14ac:dyDescent="0.2"/>
    <row r="467" ht="14.25" customHeight="1" x14ac:dyDescent="0.2"/>
    <row r="468" ht="14.25" customHeight="1" x14ac:dyDescent="0.2"/>
    <row r="469" ht="14.25" customHeight="1" x14ac:dyDescent="0.2"/>
    <row r="470" ht="14.25" customHeight="1" x14ac:dyDescent="0.2"/>
    <row r="471" ht="14.25" customHeight="1" x14ac:dyDescent="0.2"/>
    <row r="472" ht="14.25" customHeight="1" x14ac:dyDescent="0.2"/>
    <row r="473" ht="14.25" customHeight="1" x14ac:dyDescent="0.2"/>
    <row r="474" ht="14.25" customHeight="1" x14ac:dyDescent="0.2"/>
    <row r="475" ht="14.25" customHeight="1" x14ac:dyDescent="0.2"/>
    <row r="476" ht="14.25" customHeight="1" x14ac:dyDescent="0.2"/>
    <row r="477" ht="14.25" customHeight="1" x14ac:dyDescent="0.2"/>
    <row r="478" ht="14.25" customHeight="1" x14ac:dyDescent="0.2"/>
    <row r="479" ht="14.25" customHeight="1" x14ac:dyDescent="0.2"/>
    <row r="480" ht="14.25" customHeight="1" x14ac:dyDescent="0.2"/>
    <row r="481" ht="14.25" customHeight="1" x14ac:dyDescent="0.2"/>
    <row r="482" ht="14.25" customHeight="1" x14ac:dyDescent="0.2"/>
    <row r="483" ht="14.25" customHeight="1" x14ac:dyDescent="0.2"/>
    <row r="484" ht="14.25" customHeight="1" x14ac:dyDescent="0.2"/>
    <row r="485" ht="14.25" customHeight="1" x14ac:dyDescent="0.2"/>
    <row r="486" ht="14.25" customHeight="1" x14ac:dyDescent="0.2"/>
    <row r="487" ht="14.25" customHeight="1" x14ac:dyDescent="0.2"/>
    <row r="488" ht="14.25" customHeight="1" x14ac:dyDescent="0.2"/>
    <row r="489" ht="14.25" customHeight="1" x14ac:dyDescent="0.2"/>
    <row r="490" ht="14.25" customHeight="1" x14ac:dyDescent="0.2"/>
    <row r="491" ht="14.25" customHeight="1" x14ac:dyDescent="0.2"/>
    <row r="492" ht="14.25" customHeight="1" x14ac:dyDescent="0.2"/>
    <row r="493" ht="14.25" customHeight="1" x14ac:dyDescent="0.2"/>
    <row r="494" ht="14.25" customHeight="1" x14ac:dyDescent="0.2"/>
    <row r="495" ht="14.25" customHeight="1" x14ac:dyDescent="0.2"/>
    <row r="496" ht="14.25" customHeight="1" x14ac:dyDescent="0.2"/>
    <row r="497" ht="14.25" customHeight="1" x14ac:dyDescent="0.2"/>
    <row r="498" ht="14.25" customHeight="1" x14ac:dyDescent="0.2"/>
    <row r="499" ht="14.25" customHeight="1" x14ac:dyDescent="0.2"/>
    <row r="500" ht="14.25" customHeight="1" x14ac:dyDescent="0.2"/>
    <row r="501" ht="14.25" customHeight="1" x14ac:dyDescent="0.2"/>
    <row r="502" ht="14.25" customHeight="1" x14ac:dyDescent="0.2"/>
    <row r="503" ht="14.25" customHeight="1" x14ac:dyDescent="0.2"/>
    <row r="504" ht="14.25" customHeight="1" x14ac:dyDescent="0.2"/>
    <row r="505" ht="14.25" customHeight="1" x14ac:dyDescent="0.2"/>
    <row r="506" ht="14.25" customHeight="1" x14ac:dyDescent="0.2"/>
    <row r="507" ht="14.25" customHeight="1" x14ac:dyDescent="0.2"/>
    <row r="508" ht="14.25" customHeight="1" x14ac:dyDescent="0.2"/>
    <row r="509" ht="14.25" customHeight="1" x14ac:dyDescent="0.2"/>
    <row r="510" ht="14.25" customHeight="1" x14ac:dyDescent="0.2"/>
    <row r="511" ht="14.25" customHeight="1" x14ac:dyDescent="0.2"/>
    <row r="512" ht="14.25" customHeight="1" x14ac:dyDescent="0.2"/>
    <row r="513" ht="14.25" customHeight="1" x14ac:dyDescent="0.2"/>
    <row r="514" ht="14.25" customHeight="1" x14ac:dyDescent="0.2"/>
    <row r="515" ht="14.25" customHeight="1" x14ac:dyDescent="0.2"/>
    <row r="516" ht="14.25" customHeight="1" x14ac:dyDescent="0.2"/>
    <row r="517" ht="14.25" customHeight="1" x14ac:dyDescent="0.2"/>
    <row r="518" ht="14.25" customHeight="1" x14ac:dyDescent="0.2"/>
    <row r="519" ht="14.25" customHeight="1" x14ac:dyDescent="0.2"/>
    <row r="520" ht="14.25" customHeight="1" x14ac:dyDescent="0.2"/>
    <row r="521" ht="14.25" customHeight="1" x14ac:dyDescent="0.2"/>
    <row r="522" ht="14.25" customHeight="1" x14ac:dyDescent="0.2"/>
    <row r="523" ht="14.25" customHeight="1" x14ac:dyDescent="0.2"/>
    <row r="524" ht="14.25" customHeight="1" x14ac:dyDescent="0.2"/>
    <row r="525" ht="14.25" customHeight="1" x14ac:dyDescent="0.2"/>
    <row r="526" ht="14.25" customHeight="1" x14ac:dyDescent="0.2"/>
    <row r="527" ht="14.25" customHeight="1" x14ac:dyDescent="0.2"/>
    <row r="528" ht="14.25" customHeight="1" x14ac:dyDescent="0.2"/>
    <row r="529" ht="14.25" customHeight="1" x14ac:dyDescent="0.2"/>
    <row r="530" ht="14.25" customHeight="1" x14ac:dyDescent="0.2"/>
    <row r="531" ht="14.25" customHeight="1" x14ac:dyDescent="0.2"/>
    <row r="532" ht="14.25" customHeight="1" x14ac:dyDescent="0.2"/>
    <row r="533" ht="14.25" customHeight="1" x14ac:dyDescent="0.2"/>
    <row r="534" ht="14.25" customHeight="1" x14ac:dyDescent="0.2"/>
    <row r="535" ht="14.25" customHeight="1" x14ac:dyDescent="0.2"/>
    <row r="536" ht="14.25" customHeight="1" x14ac:dyDescent="0.2"/>
    <row r="537" ht="14.25" customHeight="1" x14ac:dyDescent="0.2"/>
    <row r="538" ht="14.25" customHeight="1" x14ac:dyDescent="0.2"/>
    <row r="539" ht="14.25" customHeight="1" x14ac:dyDescent="0.2"/>
    <row r="540" ht="14.25" customHeight="1" x14ac:dyDescent="0.2"/>
    <row r="541" ht="14.25" customHeight="1" x14ac:dyDescent="0.2"/>
    <row r="542" ht="14.25" customHeight="1" x14ac:dyDescent="0.2"/>
    <row r="543" ht="14.25" customHeight="1" x14ac:dyDescent="0.2"/>
    <row r="544" ht="14.25" customHeight="1" x14ac:dyDescent="0.2"/>
    <row r="545" ht="14.25" customHeight="1" x14ac:dyDescent="0.2"/>
    <row r="546" ht="14.25" customHeight="1" x14ac:dyDescent="0.2"/>
    <row r="547" ht="14.25" customHeight="1" x14ac:dyDescent="0.2"/>
    <row r="548" ht="14.25" customHeight="1" x14ac:dyDescent="0.2"/>
    <row r="549" ht="14.25" customHeight="1" x14ac:dyDescent="0.2"/>
    <row r="550" ht="14.25" customHeight="1" x14ac:dyDescent="0.2"/>
    <row r="551" ht="14.25" customHeight="1" x14ac:dyDescent="0.2"/>
    <row r="552" ht="14.25" customHeight="1" x14ac:dyDescent="0.2"/>
    <row r="553" ht="14.25" customHeight="1" x14ac:dyDescent="0.2"/>
    <row r="554" ht="14.25" customHeight="1" x14ac:dyDescent="0.2"/>
    <row r="555" ht="14.25" customHeight="1" x14ac:dyDescent="0.2"/>
    <row r="556" ht="14.25" customHeight="1" x14ac:dyDescent="0.2"/>
    <row r="557" ht="14.25" customHeight="1" x14ac:dyDescent="0.2"/>
    <row r="558" ht="14.25" customHeight="1" x14ac:dyDescent="0.2"/>
    <row r="559" ht="14.25" customHeight="1" x14ac:dyDescent="0.2"/>
    <row r="560" ht="14.25" customHeight="1" x14ac:dyDescent="0.2"/>
    <row r="561" ht="14.25" customHeight="1" x14ac:dyDescent="0.2"/>
    <row r="562" ht="14.25" customHeight="1" x14ac:dyDescent="0.2"/>
    <row r="563" ht="14.25" customHeight="1" x14ac:dyDescent="0.2"/>
    <row r="564" ht="14.25" customHeight="1" x14ac:dyDescent="0.2"/>
    <row r="565" ht="14.25" customHeight="1" x14ac:dyDescent="0.2"/>
    <row r="566" ht="14.25" customHeight="1" x14ac:dyDescent="0.2"/>
    <row r="567" ht="14.25" customHeight="1" x14ac:dyDescent="0.2"/>
    <row r="568" ht="14.25" customHeight="1" x14ac:dyDescent="0.2"/>
    <row r="569" ht="14.25" customHeight="1" x14ac:dyDescent="0.2"/>
    <row r="570" ht="14.25" customHeight="1" x14ac:dyDescent="0.2"/>
    <row r="571" ht="14.25" customHeight="1" x14ac:dyDescent="0.2"/>
    <row r="572" ht="14.25" customHeight="1" x14ac:dyDescent="0.2"/>
    <row r="573" ht="14.25" customHeight="1" x14ac:dyDescent="0.2"/>
    <row r="574" ht="14.25" customHeight="1" x14ac:dyDescent="0.2"/>
    <row r="575" ht="14.25" customHeight="1" x14ac:dyDescent="0.2"/>
    <row r="576" ht="14.25" customHeight="1" x14ac:dyDescent="0.2"/>
    <row r="577" ht="14.25" customHeight="1" x14ac:dyDescent="0.2"/>
    <row r="578" ht="14.25" customHeight="1" x14ac:dyDescent="0.2"/>
    <row r="579" ht="14.25" customHeight="1" x14ac:dyDescent="0.2"/>
    <row r="580" ht="14.25" customHeight="1" x14ac:dyDescent="0.2"/>
    <row r="581" ht="14.25" customHeight="1" x14ac:dyDescent="0.2"/>
    <row r="582" ht="14.25" customHeight="1" x14ac:dyDescent="0.2"/>
    <row r="583" ht="14.25" customHeight="1" x14ac:dyDescent="0.2"/>
    <row r="584" ht="14.25" customHeight="1" x14ac:dyDescent="0.2"/>
    <row r="585" ht="14.25" customHeight="1" x14ac:dyDescent="0.2"/>
    <row r="586" ht="14.25" customHeight="1" x14ac:dyDescent="0.2"/>
    <row r="587" ht="14.25" customHeight="1" x14ac:dyDescent="0.2"/>
    <row r="588" ht="14.25" customHeight="1" x14ac:dyDescent="0.2"/>
    <row r="589" ht="14.25" customHeight="1" x14ac:dyDescent="0.2"/>
    <row r="590" ht="14.25" customHeight="1" x14ac:dyDescent="0.2"/>
    <row r="591" ht="14.25" customHeight="1" x14ac:dyDescent="0.2"/>
    <row r="592" ht="14.25" customHeight="1" x14ac:dyDescent="0.2"/>
    <row r="593" ht="14.25" customHeight="1" x14ac:dyDescent="0.2"/>
    <row r="594" ht="14.25" customHeight="1" x14ac:dyDescent="0.2"/>
    <row r="595" ht="14.25" customHeight="1" x14ac:dyDescent="0.2"/>
    <row r="596" ht="14.25" customHeight="1" x14ac:dyDescent="0.2"/>
    <row r="597" ht="14.25" customHeight="1" x14ac:dyDescent="0.2"/>
    <row r="598" ht="14.25" customHeight="1" x14ac:dyDescent="0.2"/>
    <row r="599" ht="14.25" customHeight="1" x14ac:dyDescent="0.2"/>
    <row r="600" ht="14.25" customHeight="1" x14ac:dyDescent="0.2"/>
    <row r="601" ht="14.25" customHeight="1" x14ac:dyDescent="0.2"/>
    <row r="602" ht="14.25" customHeight="1" x14ac:dyDescent="0.2"/>
    <row r="603" ht="14.25" customHeight="1" x14ac:dyDescent="0.2"/>
    <row r="604" ht="14.25" customHeight="1" x14ac:dyDescent="0.2"/>
    <row r="605" ht="14.25" customHeight="1" x14ac:dyDescent="0.2"/>
    <row r="606" ht="14.25" customHeight="1" x14ac:dyDescent="0.2"/>
    <row r="607" ht="14.25" customHeight="1" x14ac:dyDescent="0.2"/>
    <row r="608" ht="14.25" customHeight="1" x14ac:dyDescent="0.2"/>
    <row r="609" ht="14.25" customHeight="1" x14ac:dyDescent="0.2"/>
    <row r="610" ht="14.25" customHeight="1" x14ac:dyDescent="0.2"/>
    <row r="611" ht="14.25" customHeight="1" x14ac:dyDescent="0.2"/>
    <row r="612" ht="14.25" customHeight="1" x14ac:dyDescent="0.2"/>
    <row r="613" ht="14.25" customHeight="1" x14ac:dyDescent="0.2"/>
    <row r="614" ht="14.25" customHeight="1" x14ac:dyDescent="0.2"/>
    <row r="615" ht="14.25" customHeight="1" x14ac:dyDescent="0.2"/>
    <row r="616" ht="14.25" customHeight="1" x14ac:dyDescent="0.2"/>
    <row r="617" ht="14.25" customHeight="1" x14ac:dyDescent="0.2"/>
    <row r="618" ht="14.25" customHeight="1" x14ac:dyDescent="0.2"/>
    <row r="619" ht="14.25" customHeight="1" x14ac:dyDescent="0.2"/>
    <row r="620" ht="14.25" customHeight="1" x14ac:dyDescent="0.2"/>
    <row r="621" ht="14.25" customHeight="1" x14ac:dyDescent="0.2"/>
    <row r="622" ht="14.25" customHeight="1" x14ac:dyDescent="0.2"/>
    <row r="623" ht="14.25" customHeight="1" x14ac:dyDescent="0.2"/>
    <row r="624" ht="14.25" customHeight="1" x14ac:dyDescent="0.2"/>
    <row r="625" ht="14.25" customHeight="1" x14ac:dyDescent="0.2"/>
    <row r="626" ht="14.25" customHeight="1" x14ac:dyDescent="0.2"/>
    <row r="627" ht="14.25" customHeight="1" x14ac:dyDescent="0.2"/>
    <row r="628" ht="14.25" customHeight="1" x14ac:dyDescent="0.2"/>
    <row r="629" ht="14.25" customHeight="1" x14ac:dyDescent="0.2"/>
    <row r="630" ht="14.25" customHeight="1" x14ac:dyDescent="0.2"/>
    <row r="631" ht="14.25" customHeight="1" x14ac:dyDescent="0.2"/>
    <row r="632" ht="14.25" customHeight="1" x14ac:dyDescent="0.2"/>
    <row r="633" ht="14.25" customHeight="1" x14ac:dyDescent="0.2"/>
    <row r="634" ht="14.25" customHeight="1" x14ac:dyDescent="0.2"/>
    <row r="635" ht="14.25" customHeight="1" x14ac:dyDescent="0.2"/>
    <row r="636" ht="14.25" customHeight="1" x14ac:dyDescent="0.2"/>
    <row r="637" ht="14.25" customHeight="1" x14ac:dyDescent="0.2"/>
    <row r="638" ht="14.25" customHeight="1" x14ac:dyDescent="0.2"/>
    <row r="639" ht="14.25" customHeight="1" x14ac:dyDescent="0.2"/>
    <row r="640" ht="14.25" customHeight="1" x14ac:dyDescent="0.2"/>
    <row r="641" ht="14.25" customHeight="1" x14ac:dyDescent="0.2"/>
    <row r="642" ht="14.25" customHeight="1" x14ac:dyDescent="0.2"/>
    <row r="643" ht="14.25" customHeight="1" x14ac:dyDescent="0.2"/>
    <row r="644" ht="14.25" customHeight="1" x14ac:dyDescent="0.2"/>
    <row r="645" ht="14.25" customHeight="1" x14ac:dyDescent="0.2"/>
    <row r="646" ht="14.25" customHeight="1" x14ac:dyDescent="0.2"/>
    <row r="647" ht="14.25" customHeight="1" x14ac:dyDescent="0.2"/>
    <row r="648" ht="14.25" customHeight="1" x14ac:dyDescent="0.2"/>
    <row r="649" ht="14.25" customHeight="1" x14ac:dyDescent="0.2"/>
    <row r="650" ht="14.25" customHeight="1" x14ac:dyDescent="0.2"/>
    <row r="651" ht="14.25" customHeight="1" x14ac:dyDescent="0.2"/>
    <row r="652" ht="14.25" customHeight="1" x14ac:dyDescent="0.2"/>
    <row r="653" ht="14.25" customHeight="1" x14ac:dyDescent="0.2"/>
    <row r="654" ht="14.25" customHeight="1" x14ac:dyDescent="0.2"/>
    <row r="655" ht="14.25" customHeight="1" x14ac:dyDescent="0.2"/>
    <row r="656" ht="14.25" customHeight="1" x14ac:dyDescent="0.2"/>
    <row r="657" ht="14.25" customHeight="1" x14ac:dyDescent="0.2"/>
    <row r="658" ht="14.25" customHeight="1" x14ac:dyDescent="0.2"/>
    <row r="659" ht="14.25" customHeight="1" x14ac:dyDescent="0.2"/>
    <row r="660" ht="14.25" customHeight="1" x14ac:dyDescent="0.2"/>
    <row r="661" ht="14.25" customHeight="1" x14ac:dyDescent="0.2"/>
    <row r="662" ht="14.25" customHeight="1" x14ac:dyDescent="0.2"/>
    <row r="663" ht="14.25" customHeight="1" x14ac:dyDescent="0.2"/>
    <row r="664" ht="14.25" customHeight="1" x14ac:dyDescent="0.2"/>
    <row r="665" ht="14.25" customHeight="1" x14ac:dyDescent="0.2"/>
    <row r="666" ht="14.25" customHeight="1" x14ac:dyDescent="0.2"/>
    <row r="667" ht="14.25" customHeight="1" x14ac:dyDescent="0.2"/>
    <row r="668" ht="14.25" customHeight="1" x14ac:dyDescent="0.2"/>
    <row r="669" ht="14.25" customHeight="1" x14ac:dyDescent="0.2"/>
    <row r="670" ht="14.25" customHeight="1" x14ac:dyDescent="0.2"/>
    <row r="671" ht="14.25" customHeight="1" x14ac:dyDescent="0.2"/>
    <row r="672" ht="14.25" customHeight="1" x14ac:dyDescent="0.2"/>
    <row r="673" ht="14.25" customHeight="1" x14ac:dyDescent="0.2"/>
    <row r="674" ht="14.25" customHeight="1" x14ac:dyDescent="0.2"/>
    <row r="675" ht="14.25" customHeight="1" x14ac:dyDescent="0.2"/>
    <row r="676" ht="14.25" customHeight="1" x14ac:dyDescent="0.2"/>
    <row r="677" ht="14.25" customHeight="1" x14ac:dyDescent="0.2"/>
    <row r="678" ht="14.25" customHeight="1" x14ac:dyDescent="0.2"/>
    <row r="679" ht="14.25" customHeight="1" x14ac:dyDescent="0.2"/>
    <row r="680" ht="14.25" customHeight="1" x14ac:dyDescent="0.2"/>
    <row r="681" ht="14.25" customHeight="1" x14ac:dyDescent="0.2"/>
    <row r="682" ht="14.25" customHeight="1" x14ac:dyDescent="0.2"/>
    <row r="683" ht="14.25" customHeight="1" x14ac:dyDescent="0.2"/>
    <row r="684" ht="14.25" customHeight="1" x14ac:dyDescent="0.2"/>
    <row r="685" ht="14.25" customHeight="1" x14ac:dyDescent="0.2"/>
    <row r="686" ht="14.25" customHeight="1" x14ac:dyDescent="0.2"/>
    <row r="687" ht="14.25" customHeight="1" x14ac:dyDescent="0.2"/>
    <row r="688" ht="14.25" customHeight="1" x14ac:dyDescent="0.2"/>
    <row r="689" ht="14.25" customHeight="1" x14ac:dyDescent="0.2"/>
    <row r="690" ht="14.25" customHeight="1" x14ac:dyDescent="0.2"/>
    <row r="691" ht="14.25" customHeight="1" x14ac:dyDescent="0.2"/>
    <row r="692" ht="14.25" customHeight="1" x14ac:dyDescent="0.2"/>
    <row r="693" ht="14.25" customHeight="1" x14ac:dyDescent="0.2"/>
    <row r="694" ht="14.25" customHeight="1" x14ac:dyDescent="0.2"/>
    <row r="695" ht="14.25" customHeight="1" x14ac:dyDescent="0.2"/>
    <row r="696" ht="14.25" customHeight="1" x14ac:dyDescent="0.2"/>
    <row r="697" ht="14.25" customHeight="1" x14ac:dyDescent="0.2"/>
    <row r="698" ht="14.25" customHeight="1" x14ac:dyDescent="0.2"/>
    <row r="699" ht="14.25" customHeight="1" x14ac:dyDescent="0.2"/>
    <row r="700" ht="14.25" customHeight="1" x14ac:dyDescent="0.2"/>
    <row r="701" ht="14.25" customHeight="1" x14ac:dyDescent="0.2"/>
    <row r="702" ht="14.25" customHeight="1" x14ac:dyDescent="0.2"/>
    <row r="703" ht="14.25" customHeight="1" x14ac:dyDescent="0.2"/>
    <row r="704" ht="14.25" customHeight="1" x14ac:dyDescent="0.2"/>
    <row r="705" ht="14.25" customHeight="1" x14ac:dyDescent="0.2"/>
    <row r="706" ht="14.25" customHeight="1" x14ac:dyDescent="0.2"/>
    <row r="707" ht="14.25" customHeight="1" x14ac:dyDescent="0.2"/>
    <row r="708" ht="14.25" customHeight="1" x14ac:dyDescent="0.2"/>
    <row r="709" ht="14.25" customHeight="1" x14ac:dyDescent="0.2"/>
    <row r="710" ht="14.25" customHeight="1" x14ac:dyDescent="0.2"/>
    <row r="711" ht="14.25" customHeight="1" x14ac:dyDescent="0.2"/>
    <row r="712" ht="14.25" customHeight="1" x14ac:dyDescent="0.2"/>
    <row r="713" ht="14.25" customHeight="1" x14ac:dyDescent="0.2"/>
    <row r="714" ht="14.25" customHeight="1" x14ac:dyDescent="0.2"/>
    <row r="715" ht="14.25" customHeight="1" x14ac:dyDescent="0.2"/>
    <row r="716" ht="14.25" customHeight="1" x14ac:dyDescent="0.2"/>
    <row r="717" ht="14.25" customHeight="1" x14ac:dyDescent="0.2"/>
    <row r="718" ht="14.25" customHeight="1" x14ac:dyDescent="0.2"/>
    <row r="719" ht="14.25" customHeight="1" x14ac:dyDescent="0.2"/>
    <row r="720" ht="14.25" customHeight="1" x14ac:dyDescent="0.2"/>
    <row r="721" ht="14.25" customHeight="1" x14ac:dyDescent="0.2"/>
    <row r="722" ht="14.25" customHeight="1" x14ac:dyDescent="0.2"/>
    <row r="723" ht="14.25" customHeight="1" x14ac:dyDescent="0.2"/>
    <row r="724" ht="14.25" customHeight="1" x14ac:dyDescent="0.2"/>
    <row r="725" ht="14.25" customHeight="1" x14ac:dyDescent="0.2"/>
    <row r="726" ht="14.25" customHeight="1" x14ac:dyDescent="0.2"/>
    <row r="727" ht="14.25" customHeight="1" x14ac:dyDescent="0.2"/>
    <row r="728" ht="14.25" customHeight="1" x14ac:dyDescent="0.2"/>
    <row r="729" ht="14.25" customHeight="1" x14ac:dyDescent="0.2"/>
    <row r="730" ht="14.25" customHeight="1" x14ac:dyDescent="0.2"/>
    <row r="731" ht="14.25" customHeight="1" x14ac:dyDescent="0.2"/>
    <row r="732" ht="14.25" customHeight="1" x14ac:dyDescent="0.2"/>
    <row r="733" ht="14.25" customHeight="1" x14ac:dyDescent="0.2"/>
    <row r="734" ht="14.25" customHeight="1" x14ac:dyDescent="0.2"/>
    <row r="735" ht="14.25" customHeight="1" x14ac:dyDescent="0.2"/>
    <row r="736" ht="14.25" customHeight="1" x14ac:dyDescent="0.2"/>
    <row r="737" ht="14.25" customHeight="1" x14ac:dyDescent="0.2"/>
    <row r="738" ht="14.25" customHeight="1" x14ac:dyDescent="0.2"/>
    <row r="739" ht="14.25" customHeight="1" x14ac:dyDescent="0.2"/>
    <row r="740" ht="14.25" customHeight="1" x14ac:dyDescent="0.2"/>
    <row r="741" ht="14.25" customHeight="1" x14ac:dyDescent="0.2"/>
    <row r="742" ht="14.25" customHeight="1" x14ac:dyDescent="0.2"/>
    <row r="743" ht="14.25" customHeight="1" x14ac:dyDescent="0.2"/>
    <row r="744" ht="14.25" customHeight="1" x14ac:dyDescent="0.2"/>
    <row r="745" ht="14.25" customHeight="1" x14ac:dyDescent="0.2"/>
    <row r="746" ht="14.25" customHeight="1" x14ac:dyDescent="0.2"/>
    <row r="747" ht="14.25" customHeight="1" x14ac:dyDescent="0.2"/>
    <row r="748" ht="14.25" customHeight="1" x14ac:dyDescent="0.2"/>
    <row r="749" ht="14.25" customHeight="1" x14ac:dyDescent="0.2"/>
    <row r="750" ht="14.25" customHeight="1" x14ac:dyDescent="0.2"/>
    <row r="751" ht="14.25" customHeight="1" x14ac:dyDescent="0.2"/>
    <row r="752" ht="14.25" customHeight="1" x14ac:dyDescent="0.2"/>
    <row r="753" ht="14.25" customHeight="1" x14ac:dyDescent="0.2"/>
    <row r="754" ht="14.25" customHeight="1" x14ac:dyDescent="0.2"/>
    <row r="755" ht="14.25" customHeight="1" x14ac:dyDescent="0.2"/>
    <row r="756" ht="14.25" customHeight="1" x14ac:dyDescent="0.2"/>
    <row r="757" ht="14.25" customHeight="1" x14ac:dyDescent="0.2"/>
    <row r="758" ht="14.25" customHeight="1" x14ac:dyDescent="0.2"/>
    <row r="759" ht="14.25" customHeight="1" x14ac:dyDescent="0.2"/>
    <row r="760" ht="14.25" customHeight="1" x14ac:dyDescent="0.2"/>
    <row r="761" ht="14.25" customHeight="1" x14ac:dyDescent="0.2"/>
    <row r="762" ht="14.25" customHeight="1" x14ac:dyDescent="0.2"/>
    <row r="763" ht="14.25" customHeight="1" x14ac:dyDescent="0.2"/>
    <row r="764" ht="14.25" customHeight="1" x14ac:dyDescent="0.2"/>
    <row r="765" ht="14.25" customHeight="1" x14ac:dyDescent="0.2"/>
    <row r="766" ht="14.25" customHeight="1" x14ac:dyDescent="0.2"/>
    <row r="767" ht="14.25" customHeight="1" x14ac:dyDescent="0.2"/>
    <row r="768" ht="14.25" customHeight="1" x14ac:dyDescent="0.2"/>
    <row r="769" ht="14.25" customHeight="1" x14ac:dyDescent="0.2"/>
    <row r="770" ht="14.25" customHeight="1" x14ac:dyDescent="0.2"/>
    <row r="771" ht="14.25" customHeight="1" x14ac:dyDescent="0.2"/>
    <row r="772" ht="14.25" customHeight="1" x14ac:dyDescent="0.2"/>
    <row r="773" ht="14.25" customHeight="1" x14ac:dyDescent="0.2"/>
    <row r="774" ht="14.25" customHeight="1" x14ac:dyDescent="0.2"/>
    <row r="775" ht="14.25" customHeight="1" x14ac:dyDescent="0.2"/>
    <row r="776" ht="14.25" customHeight="1" x14ac:dyDescent="0.2"/>
    <row r="777" ht="14.25" customHeight="1" x14ac:dyDescent="0.2"/>
    <row r="778" ht="14.25" customHeight="1" x14ac:dyDescent="0.2"/>
    <row r="779" ht="14.25" customHeight="1" x14ac:dyDescent="0.2"/>
    <row r="780" ht="14.25" customHeight="1" x14ac:dyDescent="0.2"/>
    <row r="781" ht="14.25" customHeight="1" x14ac:dyDescent="0.2"/>
    <row r="782" ht="14.25" customHeight="1" x14ac:dyDescent="0.2"/>
    <row r="783" ht="14.25" customHeight="1" x14ac:dyDescent="0.2"/>
    <row r="784" ht="14.25" customHeight="1" x14ac:dyDescent="0.2"/>
    <row r="785" ht="14.25" customHeight="1" x14ac:dyDescent="0.2"/>
    <row r="786" ht="14.25" customHeight="1" x14ac:dyDescent="0.2"/>
    <row r="787" ht="14.25" customHeight="1" x14ac:dyDescent="0.2"/>
    <row r="788" ht="14.25" customHeight="1" x14ac:dyDescent="0.2"/>
    <row r="789" ht="14.25" customHeight="1" x14ac:dyDescent="0.2"/>
    <row r="790" ht="14.25" customHeight="1" x14ac:dyDescent="0.2"/>
    <row r="791" ht="14.25" customHeight="1" x14ac:dyDescent="0.2"/>
    <row r="792" ht="14.25" customHeight="1" x14ac:dyDescent="0.2"/>
    <row r="793" ht="14.25" customHeight="1" x14ac:dyDescent="0.2"/>
    <row r="794" ht="14.25" customHeight="1" x14ac:dyDescent="0.2"/>
    <row r="795" ht="14.25" customHeight="1" x14ac:dyDescent="0.2"/>
    <row r="796" ht="14.25" customHeight="1" x14ac:dyDescent="0.2"/>
    <row r="797" ht="14.25" customHeight="1" x14ac:dyDescent="0.2"/>
    <row r="798" ht="14.25" customHeight="1" x14ac:dyDescent="0.2"/>
    <row r="799" ht="14.25" customHeight="1" x14ac:dyDescent="0.2"/>
    <row r="800" ht="14.25" customHeight="1" x14ac:dyDescent="0.2"/>
    <row r="801" ht="14.25" customHeight="1" x14ac:dyDescent="0.2"/>
    <row r="802" ht="14.25" customHeight="1" x14ac:dyDescent="0.2"/>
    <row r="803" ht="14.25" customHeight="1" x14ac:dyDescent="0.2"/>
    <row r="804" ht="14.25" customHeight="1" x14ac:dyDescent="0.2"/>
    <row r="805" ht="14.25" customHeight="1" x14ac:dyDescent="0.2"/>
    <row r="806" ht="14.25" customHeight="1" x14ac:dyDescent="0.2"/>
    <row r="807" ht="14.25" customHeight="1" x14ac:dyDescent="0.2"/>
    <row r="808" ht="14.25" customHeight="1" x14ac:dyDescent="0.2"/>
    <row r="809" ht="14.25" customHeight="1" x14ac:dyDescent="0.2"/>
    <row r="810" ht="14.25" customHeight="1" x14ac:dyDescent="0.2"/>
    <row r="811" ht="14.25" customHeight="1" x14ac:dyDescent="0.2"/>
    <row r="812" ht="14.25" customHeight="1" x14ac:dyDescent="0.2"/>
    <row r="813" ht="14.25" customHeight="1" x14ac:dyDescent="0.2"/>
    <row r="814" ht="14.25" customHeight="1" x14ac:dyDescent="0.2"/>
    <row r="815" ht="14.25" customHeight="1" x14ac:dyDescent="0.2"/>
    <row r="816" ht="14.25" customHeight="1" x14ac:dyDescent="0.2"/>
    <row r="817" ht="14.25" customHeight="1" x14ac:dyDescent="0.2"/>
    <row r="818" ht="14.25" customHeight="1" x14ac:dyDescent="0.2"/>
    <row r="819" ht="14.25" customHeight="1" x14ac:dyDescent="0.2"/>
    <row r="820" ht="14.25" customHeight="1" x14ac:dyDescent="0.2"/>
    <row r="821" ht="14.25" customHeight="1" x14ac:dyDescent="0.2"/>
    <row r="822" ht="14.25" customHeight="1" x14ac:dyDescent="0.2"/>
    <row r="823" ht="14.25" customHeight="1" x14ac:dyDescent="0.2"/>
    <row r="824" ht="14.25" customHeight="1" x14ac:dyDescent="0.2"/>
    <row r="825" ht="14.25" customHeight="1" x14ac:dyDescent="0.2"/>
    <row r="826" ht="14.25" customHeight="1" x14ac:dyDescent="0.2"/>
    <row r="827" ht="14.25" customHeight="1" x14ac:dyDescent="0.2"/>
    <row r="828" ht="14.25" customHeight="1" x14ac:dyDescent="0.2"/>
    <row r="829" ht="14.25" customHeight="1" x14ac:dyDescent="0.2"/>
    <row r="830" ht="14.25" customHeight="1" x14ac:dyDescent="0.2"/>
    <row r="831" ht="14.25" customHeight="1" x14ac:dyDescent="0.2"/>
    <row r="832" ht="14.25" customHeight="1" x14ac:dyDescent="0.2"/>
    <row r="833" ht="14.25" customHeight="1" x14ac:dyDescent="0.2"/>
    <row r="834" ht="14.25" customHeight="1" x14ac:dyDescent="0.2"/>
    <row r="835" ht="14.25" customHeight="1" x14ac:dyDescent="0.2"/>
    <row r="836" ht="14.25" customHeight="1" x14ac:dyDescent="0.2"/>
    <row r="837" ht="14.25" customHeight="1" x14ac:dyDescent="0.2"/>
    <row r="838" ht="14.25" customHeight="1" x14ac:dyDescent="0.2"/>
    <row r="839" ht="14.25" customHeight="1" x14ac:dyDescent="0.2"/>
    <row r="840" ht="14.25" customHeight="1" x14ac:dyDescent="0.2"/>
    <row r="841" ht="14.25" customHeight="1" x14ac:dyDescent="0.2"/>
    <row r="842" ht="14.25" customHeight="1" x14ac:dyDescent="0.2"/>
    <row r="843" ht="14.25" customHeight="1" x14ac:dyDescent="0.2"/>
    <row r="844" ht="14.25" customHeight="1" x14ac:dyDescent="0.2"/>
    <row r="845" ht="14.25" customHeight="1" x14ac:dyDescent="0.2"/>
    <row r="846" ht="14.25" customHeight="1" x14ac:dyDescent="0.2"/>
    <row r="847" ht="14.25" customHeight="1" x14ac:dyDescent="0.2"/>
    <row r="848" ht="14.25" customHeight="1" x14ac:dyDescent="0.2"/>
    <row r="849" ht="14.25" customHeight="1" x14ac:dyDescent="0.2"/>
    <row r="850" ht="14.25" customHeight="1" x14ac:dyDescent="0.2"/>
    <row r="851" ht="14.25" customHeight="1" x14ac:dyDescent="0.2"/>
    <row r="852" ht="14.25" customHeight="1" x14ac:dyDescent="0.2"/>
    <row r="853" ht="14.25" customHeight="1" x14ac:dyDescent="0.2"/>
    <row r="854" ht="14.25" customHeight="1" x14ac:dyDescent="0.2"/>
    <row r="855" ht="14.25" customHeight="1" x14ac:dyDescent="0.2"/>
    <row r="856" ht="14.25" customHeight="1" x14ac:dyDescent="0.2"/>
    <row r="857" ht="14.25" customHeight="1" x14ac:dyDescent="0.2"/>
    <row r="858" ht="14.25" customHeight="1" x14ac:dyDescent="0.2"/>
    <row r="859" ht="14.25" customHeight="1" x14ac:dyDescent="0.2"/>
    <row r="860" ht="14.25" customHeight="1" x14ac:dyDescent="0.2"/>
    <row r="861" ht="14.25" customHeight="1" x14ac:dyDescent="0.2"/>
    <row r="862" ht="14.25" customHeight="1" x14ac:dyDescent="0.2"/>
    <row r="863" ht="14.25" customHeight="1" x14ac:dyDescent="0.2"/>
    <row r="864" ht="14.25" customHeight="1" x14ac:dyDescent="0.2"/>
    <row r="865" ht="14.25" customHeight="1" x14ac:dyDescent="0.2"/>
    <row r="866" ht="14.25" customHeight="1" x14ac:dyDescent="0.2"/>
    <row r="867" ht="14.25" customHeight="1" x14ac:dyDescent="0.2"/>
    <row r="868" ht="14.25" customHeight="1" x14ac:dyDescent="0.2"/>
    <row r="869" ht="14.25" customHeight="1" x14ac:dyDescent="0.2"/>
    <row r="870" ht="14.25" customHeight="1" x14ac:dyDescent="0.2"/>
    <row r="871" ht="14.25" customHeight="1" x14ac:dyDescent="0.2"/>
    <row r="872" ht="14.25" customHeight="1" x14ac:dyDescent="0.2"/>
    <row r="873" ht="14.25" customHeight="1" x14ac:dyDescent="0.2"/>
    <row r="874" ht="14.25" customHeight="1" x14ac:dyDescent="0.2"/>
    <row r="875" ht="14.25" customHeight="1" x14ac:dyDescent="0.2"/>
    <row r="876" ht="14.25" customHeight="1" x14ac:dyDescent="0.2"/>
    <row r="877" ht="14.25" customHeight="1" x14ac:dyDescent="0.2"/>
    <row r="878" ht="14.25" customHeight="1" x14ac:dyDescent="0.2"/>
    <row r="879" ht="14.25" customHeight="1" x14ac:dyDescent="0.2"/>
    <row r="880" ht="14.25" customHeight="1" x14ac:dyDescent="0.2"/>
    <row r="881" ht="14.25" customHeight="1" x14ac:dyDescent="0.2"/>
    <row r="882" ht="14.25" customHeight="1" x14ac:dyDescent="0.2"/>
    <row r="883" ht="14.25" customHeight="1" x14ac:dyDescent="0.2"/>
    <row r="884" ht="14.25" customHeight="1" x14ac:dyDescent="0.2"/>
    <row r="885" ht="14.25" customHeight="1" x14ac:dyDescent="0.2"/>
    <row r="886" ht="14.25" customHeight="1" x14ac:dyDescent="0.2"/>
    <row r="887" ht="14.25" customHeight="1" x14ac:dyDescent="0.2"/>
    <row r="888" ht="14.25" customHeight="1" x14ac:dyDescent="0.2"/>
    <row r="889" ht="14.25" customHeight="1" x14ac:dyDescent="0.2"/>
    <row r="890" ht="14.25" customHeight="1" x14ac:dyDescent="0.2"/>
    <row r="891" ht="14.25" customHeight="1" x14ac:dyDescent="0.2"/>
    <row r="892" ht="14.25" customHeight="1" x14ac:dyDescent="0.2"/>
    <row r="893" ht="14.25" customHeight="1" x14ac:dyDescent="0.2"/>
    <row r="894" ht="14.25" customHeight="1" x14ac:dyDescent="0.2"/>
    <row r="895" ht="14.25" customHeight="1" x14ac:dyDescent="0.2"/>
    <row r="896" ht="14.25" customHeight="1" x14ac:dyDescent="0.2"/>
    <row r="897" ht="14.25" customHeight="1" x14ac:dyDescent="0.2"/>
    <row r="898" ht="14.25" customHeight="1" x14ac:dyDescent="0.2"/>
    <row r="899" ht="14.25" customHeight="1" x14ac:dyDescent="0.2"/>
    <row r="900" ht="14.25" customHeight="1" x14ac:dyDescent="0.2"/>
    <row r="901" ht="14.25" customHeight="1" x14ac:dyDescent="0.2"/>
    <row r="902" ht="14.25" customHeight="1" x14ac:dyDescent="0.2"/>
    <row r="903" ht="14.25" customHeight="1" x14ac:dyDescent="0.2"/>
    <row r="904" ht="14.25" customHeight="1" x14ac:dyDescent="0.2"/>
    <row r="905" ht="14.25" customHeight="1" x14ac:dyDescent="0.2"/>
    <row r="906" ht="14.25" customHeight="1" x14ac:dyDescent="0.2"/>
    <row r="907" ht="14.25" customHeight="1" x14ac:dyDescent="0.2"/>
    <row r="908" ht="14.25" customHeight="1" x14ac:dyDescent="0.2"/>
    <row r="909" ht="14.25" customHeight="1" x14ac:dyDescent="0.2"/>
    <row r="910" ht="14.25" customHeight="1" x14ac:dyDescent="0.2"/>
    <row r="911" ht="14.25" customHeight="1" x14ac:dyDescent="0.2"/>
    <row r="912" ht="14.25" customHeight="1" x14ac:dyDescent="0.2"/>
    <row r="913" ht="14.25" customHeight="1" x14ac:dyDescent="0.2"/>
    <row r="914" ht="14.25" customHeight="1" x14ac:dyDescent="0.2"/>
    <row r="915" ht="14.25" customHeight="1" x14ac:dyDescent="0.2"/>
    <row r="916" ht="14.25" customHeight="1" x14ac:dyDescent="0.2"/>
    <row r="917" ht="14.25" customHeight="1" x14ac:dyDescent="0.2"/>
    <row r="918" ht="14.25" customHeight="1" x14ac:dyDescent="0.2"/>
    <row r="919" ht="14.25" customHeight="1" x14ac:dyDescent="0.2"/>
    <row r="920" ht="14.25" customHeight="1" x14ac:dyDescent="0.2"/>
    <row r="921" ht="14.25" customHeight="1" x14ac:dyDescent="0.2"/>
    <row r="922" ht="14.25" customHeight="1" x14ac:dyDescent="0.2"/>
    <row r="923" ht="14.25" customHeight="1" x14ac:dyDescent="0.2"/>
    <row r="924" ht="14.25" customHeight="1" x14ac:dyDescent="0.2"/>
    <row r="925" ht="14.25" customHeight="1" x14ac:dyDescent="0.2"/>
    <row r="926" ht="14.25" customHeight="1" x14ac:dyDescent="0.2"/>
    <row r="927" ht="14.25" customHeight="1" x14ac:dyDescent="0.2"/>
    <row r="928" ht="14.25" customHeight="1" x14ac:dyDescent="0.2"/>
    <row r="929" ht="14.25" customHeight="1" x14ac:dyDescent="0.2"/>
    <row r="930" ht="14.25" customHeight="1" x14ac:dyDescent="0.2"/>
    <row r="931" ht="14.25" customHeight="1" x14ac:dyDescent="0.2"/>
    <row r="932" ht="14.25" customHeight="1" x14ac:dyDescent="0.2"/>
    <row r="933" ht="14.25" customHeight="1" x14ac:dyDescent="0.2"/>
    <row r="934" ht="14.25" customHeight="1" x14ac:dyDescent="0.2"/>
    <row r="935" ht="14.25" customHeight="1" x14ac:dyDescent="0.2"/>
    <row r="936" ht="14.25" customHeight="1" x14ac:dyDescent="0.2"/>
    <row r="937" ht="14.25" customHeight="1" x14ac:dyDescent="0.2"/>
    <row r="938" ht="14.25" customHeight="1" x14ac:dyDescent="0.2"/>
    <row r="939" ht="14.25" customHeight="1" x14ac:dyDescent="0.2"/>
    <row r="940" ht="14.25" customHeight="1" x14ac:dyDescent="0.2"/>
    <row r="941" ht="14.25" customHeight="1" x14ac:dyDescent="0.2"/>
    <row r="942" ht="14.25" customHeight="1" x14ac:dyDescent="0.2"/>
    <row r="943" ht="14.25" customHeight="1" x14ac:dyDescent="0.2"/>
    <row r="944" ht="14.25" customHeight="1" x14ac:dyDescent="0.2"/>
    <row r="945" ht="14.25" customHeight="1" x14ac:dyDescent="0.2"/>
    <row r="946" ht="14.25" customHeight="1" x14ac:dyDescent="0.2"/>
    <row r="947" ht="14.25" customHeight="1" x14ac:dyDescent="0.2"/>
    <row r="948" ht="14.25" customHeight="1" x14ac:dyDescent="0.2"/>
    <row r="949" ht="14.25" customHeight="1" x14ac:dyDescent="0.2"/>
    <row r="950" ht="14.25" customHeight="1" x14ac:dyDescent="0.2"/>
    <row r="951" ht="14.25" customHeight="1" x14ac:dyDescent="0.2"/>
    <row r="952" ht="14.25" customHeight="1" x14ac:dyDescent="0.2"/>
    <row r="953" ht="14.25" customHeight="1" x14ac:dyDescent="0.2"/>
    <row r="954" ht="14.25" customHeight="1" x14ac:dyDescent="0.2"/>
    <row r="955" ht="14.25" customHeight="1" x14ac:dyDescent="0.2"/>
    <row r="956" ht="14.25" customHeight="1" x14ac:dyDescent="0.2"/>
    <row r="957" ht="14.25" customHeight="1" x14ac:dyDescent="0.2"/>
    <row r="958" ht="14.25" customHeight="1" x14ac:dyDescent="0.2"/>
    <row r="959" ht="14.25" customHeight="1" x14ac:dyDescent="0.2"/>
    <row r="960" ht="14.25" customHeight="1" x14ac:dyDescent="0.2"/>
    <row r="961" ht="14.25" customHeight="1" x14ac:dyDescent="0.2"/>
    <row r="962" ht="14.25" customHeight="1" x14ac:dyDescent="0.2"/>
    <row r="963" ht="14.25" customHeight="1" x14ac:dyDescent="0.2"/>
    <row r="964" ht="14.25" customHeight="1" x14ac:dyDescent="0.2"/>
    <row r="965" ht="14.25" customHeight="1" x14ac:dyDescent="0.2"/>
    <row r="966" ht="14.25" customHeight="1" x14ac:dyDescent="0.2"/>
    <row r="967" ht="14.25" customHeight="1" x14ac:dyDescent="0.2"/>
    <row r="968" ht="14.25" customHeight="1" x14ac:dyDescent="0.2"/>
    <row r="969" ht="14.25" customHeight="1" x14ac:dyDescent="0.2"/>
    <row r="970" ht="14.25" customHeight="1" x14ac:dyDescent="0.2"/>
    <row r="971" ht="14.25" customHeight="1" x14ac:dyDescent="0.2"/>
    <row r="972" ht="14.25" customHeight="1" x14ac:dyDescent="0.2"/>
    <row r="973" ht="14.25" customHeight="1" x14ac:dyDescent="0.2"/>
    <row r="974" ht="14.25" customHeight="1" x14ac:dyDescent="0.2"/>
    <row r="975" ht="14.25" customHeight="1" x14ac:dyDescent="0.2"/>
    <row r="976" ht="14.25" customHeight="1" x14ac:dyDescent="0.2"/>
    <row r="977" ht="14.25" customHeight="1" x14ac:dyDescent="0.2"/>
    <row r="978" ht="14.25" customHeight="1" x14ac:dyDescent="0.2"/>
    <row r="979" ht="14.25" customHeight="1" x14ac:dyDescent="0.2"/>
    <row r="980" ht="14.25" customHeight="1" x14ac:dyDescent="0.2"/>
    <row r="981" ht="14.25" customHeight="1" x14ac:dyDescent="0.2"/>
    <row r="982" ht="14.25" customHeight="1" x14ac:dyDescent="0.2"/>
    <row r="983" ht="14.25" customHeight="1" x14ac:dyDescent="0.2"/>
    <row r="984" ht="14.25" customHeight="1" x14ac:dyDescent="0.2"/>
    <row r="985" ht="14.25" customHeight="1" x14ac:dyDescent="0.2"/>
    <row r="986" ht="14.25" customHeight="1" x14ac:dyDescent="0.2"/>
    <row r="987" ht="14.25" customHeight="1" x14ac:dyDescent="0.2"/>
    <row r="988" ht="14.25" customHeight="1" x14ac:dyDescent="0.2"/>
    <row r="989" ht="14.25" customHeight="1" x14ac:dyDescent="0.2"/>
    <row r="990" ht="14.25" customHeight="1" x14ac:dyDescent="0.2"/>
    <row r="991" ht="14.25" customHeight="1" x14ac:dyDescent="0.2"/>
    <row r="992" ht="14.25" customHeight="1" x14ac:dyDescent="0.2"/>
    <row r="993" ht="14.25" customHeight="1" x14ac:dyDescent="0.2"/>
    <row r="994" ht="14.25" customHeight="1" x14ac:dyDescent="0.2"/>
    <row r="995" ht="14.25" customHeight="1" x14ac:dyDescent="0.2"/>
    <row r="996" ht="14.25" customHeight="1" x14ac:dyDescent="0.2"/>
    <row r="997" ht="14.25" customHeight="1" x14ac:dyDescent="0.2"/>
    <row r="998" ht="14.25" customHeight="1" x14ac:dyDescent="0.2"/>
    <row r="999" ht="14.25" customHeight="1" x14ac:dyDescent="0.2"/>
    <row r="1000" ht="14.25" customHeight="1" x14ac:dyDescent="0.2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58A72-9464-5845-A57C-12441F1547AB}">
  <dimension ref="A1:H2"/>
  <sheetViews>
    <sheetView workbookViewId="0">
      <selection activeCell="H2" sqref="H2"/>
    </sheetView>
  </sheetViews>
  <sheetFormatPr baseColWidth="10" defaultRowHeight="15" x14ac:dyDescent="0.2"/>
  <cols>
    <col min="3" max="3" width="11.83203125" bestFit="1" customWidth="1"/>
    <col min="4" max="4" width="19.33203125" bestFit="1" customWidth="1"/>
    <col min="6" max="8" width="17.33203125" bestFit="1" customWidth="1"/>
  </cols>
  <sheetData>
    <row r="1" spans="1:8" x14ac:dyDescent="0.2">
      <c r="A1" t="s">
        <v>66</v>
      </c>
      <c r="B1" t="s">
        <v>67</v>
      </c>
      <c r="C1" t="s">
        <v>68</v>
      </c>
      <c r="D1" t="s">
        <v>69</v>
      </c>
    </row>
    <row r="2" spans="1:8" x14ac:dyDescent="0.2">
      <c r="A2" s="14">
        <v>6.7299999999999999E-2</v>
      </c>
      <c r="B2">
        <f>1000/A2</f>
        <v>14858.841010401189</v>
      </c>
      <c r="C2" s="15">
        <v>247029168</v>
      </c>
      <c r="D2" s="12">
        <f>B2*C2</f>
        <v>3670567132243.6851</v>
      </c>
      <c r="F2" s="16">
        <v>3868963000000</v>
      </c>
      <c r="G2" s="16">
        <v>555246000000</v>
      </c>
      <c r="H2" s="13">
        <f>F2+G2</f>
        <v>4424209000000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D10"/>
  <sheetViews>
    <sheetView workbookViewId="0"/>
  </sheetViews>
  <sheetFormatPr baseColWidth="10" defaultColWidth="12.6640625" defaultRowHeight="15" customHeight="1" x14ac:dyDescent="0.2"/>
  <cols>
    <col min="1" max="1" width="27.83203125" customWidth="1"/>
    <col min="2" max="2" width="25.1640625" customWidth="1"/>
    <col min="3" max="3" width="24.5" customWidth="1"/>
  </cols>
  <sheetData>
    <row r="1" spans="1:4" x14ac:dyDescent="0.2">
      <c r="A1" s="1" t="s">
        <v>0</v>
      </c>
      <c r="B1" s="1" t="s">
        <v>2</v>
      </c>
      <c r="C1" s="1" t="s">
        <v>3</v>
      </c>
      <c r="D1" s="1" t="s">
        <v>3</v>
      </c>
    </row>
    <row r="2" spans="1:4" x14ac:dyDescent="0.2">
      <c r="A2" s="3" t="s">
        <v>4</v>
      </c>
      <c r="B2" s="1" t="s">
        <v>5</v>
      </c>
      <c r="C2" s="1">
        <v>3734</v>
      </c>
      <c r="D2" s="1" t="s">
        <v>6</v>
      </c>
    </row>
    <row r="3" spans="1:4" x14ac:dyDescent="0.2">
      <c r="A3" s="1" t="s">
        <v>7</v>
      </c>
      <c r="B3" s="1" t="s">
        <v>8</v>
      </c>
      <c r="C3" s="1">
        <v>6365</v>
      </c>
      <c r="D3" s="1" t="s">
        <v>6</v>
      </c>
    </row>
    <row r="4" spans="1:4" x14ac:dyDescent="0.2">
      <c r="A4" s="3" t="s">
        <v>9</v>
      </c>
      <c r="B4" s="3" t="s">
        <v>10</v>
      </c>
      <c r="C4" s="3">
        <v>6267</v>
      </c>
      <c r="D4" s="1" t="s">
        <v>6</v>
      </c>
    </row>
    <row r="5" spans="1:4" x14ac:dyDescent="0.2">
      <c r="A5" s="3" t="s">
        <v>11</v>
      </c>
      <c r="B5" s="3" t="s">
        <v>12</v>
      </c>
      <c r="C5" s="3">
        <v>5029</v>
      </c>
      <c r="D5" s="1" t="s">
        <v>6</v>
      </c>
    </row>
    <row r="6" spans="1:4" x14ac:dyDescent="0.2">
      <c r="A6" s="3" t="s">
        <v>13</v>
      </c>
      <c r="B6" s="3" t="s">
        <v>12</v>
      </c>
      <c r="C6" s="3">
        <v>10794</v>
      </c>
      <c r="D6" s="1" t="s">
        <v>6</v>
      </c>
    </row>
    <row r="7" spans="1:4" x14ac:dyDescent="0.2">
      <c r="A7" s="3" t="s">
        <v>14</v>
      </c>
      <c r="B7" s="3" t="s">
        <v>12</v>
      </c>
      <c r="C7" s="3">
        <v>3356</v>
      </c>
      <c r="D7" s="1" t="s">
        <v>6</v>
      </c>
    </row>
    <row r="8" spans="1:4" x14ac:dyDescent="0.2">
      <c r="A8" s="1" t="s">
        <v>15</v>
      </c>
      <c r="B8" s="3" t="s">
        <v>12</v>
      </c>
      <c r="C8" s="3">
        <v>16348</v>
      </c>
      <c r="D8" s="1" t="s">
        <v>6</v>
      </c>
    </row>
    <row r="9" spans="1:4" x14ac:dyDescent="0.2">
      <c r="A9" s="3" t="s">
        <v>16</v>
      </c>
      <c r="B9" s="3" t="s">
        <v>17</v>
      </c>
      <c r="C9" s="3">
        <v>1528</v>
      </c>
      <c r="D9" s="1" t="s">
        <v>6</v>
      </c>
    </row>
    <row r="10" spans="1:4" x14ac:dyDescent="0.2">
      <c r="A10" s="3" t="s">
        <v>18</v>
      </c>
      <c r="B10" s="3" t="s">
        <v>17</v>
      </c>
      <c r="C10" s="3">
        <v>11009</v>
      </c>
      <c r="D10" s="1" t="s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lokasi kebun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Digitaloffice05679</dc:creator>
  <cp:lastModifiedBy>Muhammad Najmi Rahmani</cp:lastModifiedBy>
  <dcterms:created xsi:type="dcterms:W3CDTF">2025-11-28T07:59:29Z</dcterms:created>
  <dcterms:modified xsi:type="dcterms:W3CDTF">2026-09-06T13:33:22Z</dcterms:modified>
</cp:coreProperties>
</file>