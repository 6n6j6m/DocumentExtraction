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300" windowHeight="18980" tabRatio="600" firstSheet="0" activeTab="0" autoFilterDateGrouping="1"/>
  </bookViews>
  <sheets>
    <sheet name="Sheet1" sheetId="1" state="visible" r:id="rId1"/>
    <sheet name="Sheet2" sheetId="2" state="visible" r:id="rId2"/>
    <sheet name="lokasi kebu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#,##0_ "/>
  </numFmts>
  <fonts count="7">
    <font>
      <name val="Aptos Narrow"/>
      <color theme="1"/>
      <sz val="11"/>
      <scheme val="minor"/>
    </font>
    <font>
      <name val="Arial"/>
      <family val="2"/>
      <color theme="1"/>
      <sz val="11"/>
    </font>
    <font>
      <name val="Tahoma"/>
      <family val="2"/>
      <color theme="1"/>
      <sz val="11"/>
    </font>
    <font>
      <name val="Aptos Narrow"/>
      <color theme="1"/>
      <sz val="11"/>
      <scheme val="minor"/>
    </font>
    <font>
      <name val="Helvetica"/>
      <family val="2"/>
      <color rgb="FF000000"/>
      <sz val="9"/>
    </font>
    <font>
      <name val="Arial"/>
      <family val="2"/>
      <color rgb="FF000000"/>
      <sz val="8"/>
    </font>
    <font>
      <name val="Helvetica Neue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1" fontId="3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0" borderId="0" applyAlignment="1" pivotButton="0" quotePrefix="0" xfId="0">
      <alignment horizontal="center"/>
    </xf>
    <xf numFmtId="165" fontId="2" fillId="0" borderId="0" pivotButton="0" quotePrefix="0" xfId="0"/>
    <xf numFmtId="0" fontId="2" fillId="2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43" fontId="2" fillId="0" borderId="0" applyAlignment="1" pivotButton="0" quotePrefix="0" xfId="0">
      <alignment horizontal="center"/>
    </xf>
    <xf numFmtId="41" fontId="0" fillId="0" borderId="0" pivotButton="0" quotePrefix="0" xfId="1"/>
    <xf numFmtId="41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41" fontId="3" fillId="0" borderId="0" pivotButton="0" quotePrefix="0" xfId="1"/>
  </cellXfs>
  <cellStyles count="2">
    <cellStyle name="Normal" xfId="0" builtinId="0"/>
    <cellStyle name="Comma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"/>
  <sheetViews>
    <sheetView tabSelected="1" workbookViewId="0">
      <pane xSplit="1" topLeftCell="B1" activePane="topRight" state="frozen"/>
      <selection pane="topRight" activeCell="B24" sqref="B24"/>
    </sheetView>
  </sheetViews>
  <sheetFormatPr baseColWidth="10" defaultColWidth="12.6640625" defaultRowHeight="15" customHeight="1"/>
  <cols>
    <col width="59.6640625" customWidth="1" min="1" max="1"/>
    <col width="20.5" customWidth="1" min="2" max="2"/>
    <col width="19.5" customWidth="1" min="3" max="3"/>
    <col width="22.5" customWidth="1" min="4" max="4"/>
    <col width="19.5" customWidth="1" min="5" max="7"/>
    <col width="18.33203125" bestFit="1" customWidth="1" min="8" max="8"/>
    <col width="19.5" customWidth="1" min="9" max="9"/>
    <col width="18.33203125" bestFit="1" customWidth="1" min="10" max="15"/>
    <col width="18.6640625" bestFit="1" customWidth="1" min="16" max="17"/>
    <col width="32.83203125" bestFit="1" customWidth="1" min="18" max="18"/>
    <col width="18.6640625" bestFit="1" customWidth="1" min="19" max="19"/>
    <col width="15" bestFit="1" customWidth="1" min="20" max="20"/>
    <col width="8.6640625" customWidth="1" min="21" max="23"/>
    <col width="15" bestFit="1" customWidth="1" min="24" max="24"/>
    <col width="8.6640625" customWidth="1" min="25" max="27"/>
  </cols>
  <sheetData>
    <row r="1" ht="14.25" customHeight="1">
      <c r="A1" s="2" t="inlineStr">
        <is>
          <t>(HANYA YANG BISA DIATRIBUSIKAN KE ENTITAS INDUK SAJA)</t>
        </is>
      </c>
      <c r="D1" s="4" t="inlineStr">
        <is>
          <t>PTBA</t>
        </is>
      </c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2" t="inlineStr">
        <is>
          <t>DINYATAKAN DALAM RUPIAH</t>
        </is>
      </c>
      <c r="D2" s="4" t="n"/>
      <c r="E2" s="2" t="n"/>
      <c r="F2" s="2" t="inlineStr">
        <is>
          <t>kecuali nilai nominal dan data saham</t>
        </is>
      </c>
      <c r="G2" s="2" t="n"/>
      <c r="H2" s="2" t="n"/>
      <c r="I2" s="2" t="n"/>
      <c r="J2" s="2" t="n"/>
      <c r="K2" s="2" t="n"/>
      <c r="L2" s="4" t="n"/>
      <c r="M2" s="5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4.25" customHeight="1">
      <c r="A3" s="2" t="n"/>
      <c r="B3" s="1" t="inlineStr">
        <is>
          <t>Q2 2026</t>
        </is>
      </c>
      <c r="C3" s="1" t="inlineStr">
        <is>
          <t>Q1 2026</t>
        </is>
      </c>
      <c r="D3" s="1" t="inlineStr">
        <is>
          <t>Q4 2025</t>
        </is>
      </c>
      <c r="E3" s="4" t="inlineStr">
        <is>
          <t>Q3 2025</t>
        </is>
      </c>
      <c r="F3" s="4" t="inlineStr">
        <is>
          <t>Q2 2025</t>
        </is>
      </c>
      <c r="G3" s="4" t="inlineStr">
        <is>
          <t>Q1 2025</t>
        </is>
      </c>
      <c r="H3" s="4" t="inlineStr">
        <is>
          <t>TAHUNAN 2024</t>
        </is>
      </c>
      <c r="I3" s="4" t="inlineStr">
        <is>
          <t>Q3 2024</t>
        </is>
      </c>
      <c r="J3" s="2" t="inlineStr">
        <is>
          <t>Q2 2024</t>
        </is>
      </c>
      <c r="K3" s="2" t="inlineStr">
        <is>
          <t>Q1 2024</t>
        </is>
      </c>
      <c r="L3" s="2" t="inlineStr">
        <is>
          <t>TAHUNAN 2023</t>
        </is>
      </c>
      <c r="M3" s="2" t="inlineStr">
        <is>
          <t>Q3 2023</t>
        </is>
      </c>
      <c r="N3" s="2" t="inlineStr">
        <is>
          <t>Q2 2023</t>
        </is>
      </c>
      <c r="O3" s="2" t="inlineStr">
        <is>
          <t>Q1 2023</t>
        </is>
      </c>
      <c r="P3" s="2" t="inlineStr">
        <is>
          <t>TAHUNAN 2022</t>
        </is>
      </c>
      <c r="Q3" s="2" t="inlineStr">
        <is>
          <t>Q3 2022</t>
        </is>
      </c>
      <c r="R3" s="6" t="inlineStr">
        <is>
          <t>Q2 2022</t>
        </is>
      </c>
      <c r="S3" s="6" t="inlineStr">
        <is>
          <t>Q1 2022</t>
        </is>
      </c>
      <c r="T3" s="6" t="inlineStr">
        <is>
          <t>TAHUNAN 2021</t>
        </is>
      </c>
      <c r="U3" s="6" t="inlineStr">
        <is>
          <t>Q3 2021</t>
        </is>
      </c>
      <c r="V3" s="6" t="inlineStr">
        <is>
          <t>Q2 2021</t>
        </is>
      </c>
      <c r="W3" s="6" t="inlineStr">
        <is>
          <t>Q1 2021</t>
        </is>
      </c>
      <c r="X3" s="6" t="inlineStr">
        <is>
          <t>TAHUNAN 2020</t>
        </is>
      </c>
      <c r="Y3" s="6" t="inlineStr">
        <is>
          <t>Q3 2020</t>
        </is>
      </c>
      <c r="Z3" s="6" t="inlineStr">
        <is>
          <t>Q2 2020</t>
        </is>
      </c>
      <c r="AA3" s="6" t="inlineStr">
        <is>
          <t>Q1 2020</t>
        </is>
      </c>
    </row>
    <row r="4" ht="14.25" customHeight="1">
      <c r="A4" s="2" t="inlineStr">
        <is>
          <t>Aset</t>
        </is>
      </c>
      <c r="B4" s="18" t="n">
        <v>48102422000000</v>
      </c>
      <c r="C4" s="18" t="n">
        <v>43228243000000</v>
      </c>
      <c r="D4" s="18" t="n">
        <v>43917063000000</v>
      </c>
      <c r="E4" s="18" t="n">
        <v>42836755000000</v>
      </c>
      <c r="F4" s="18" t="n">
        <v>42680945000000</v>
      </c>
      <c r="G4" s="18" t="n">
        <v>42257575000000</v>
      </c>
      <c r="H4" s="18" t="n">
        <v>41785576000000</v>
      </c>
      <c r="I4" s="18" t="n">
        <v>40153284000000</v>
      </c>
      <c r="J4" s="18" t="n">
        <v>38392852000000</v>
      </c>
      <c r="K4" s="18" t="n">
        <v>38416894000000</v>
      </c>
      <c r="L4" s="18" t="n">
        <v>38765189000000</v>
      </c>
      <c r="M4" s="18" t="n">
        <v>36004462000000</v>
      </c>
      <c r="N4" s="18" t="n">
        <v>46287550000000</v>
      </c>
      <c r="O4" s="18" t="n">
        <v>46376300000000</v>
      </c>
      <c r="P4" s="18" t="n">
        <v>45359207000000</v>
      </c>
      <c r="Q4" s="18" t="n">
        <v>41216840000000</v>
      </c>
      <c r="R4" s="18" t="n">
        <v>35913004000000</v>
      </c>
      <c r="S4" s="18" t="n">
        <v>38989683000000</v>
      </c>
      <c r="T4" s="5" t="n"/>
      <c r="U4" s="7" t="n"/>
      <c r="V4" s="7" t="n"/>
      <c r="W4" s="7" t="n"/>
      <c r="X4" s="7" t="n"/>
      <c r="Y4" s="7" t="n"/>
      <c r="Z4" s="7" t="n"/>
      <c r="AA4" s="7" t="n"/>
    </row>
    <row r="5" ht="14.25" customHeight="1">
      <c r="A5" s="2" t="inlineStr">
        <is>
          <t>total aset lancar</t>
        </is>
      </c>
      <c r="B5" s="18" t="n">
        <v>16530448000000</v>
      </c>
      <c r="C5" s="18" t="n">
        <v>13045179000000</v>
      </c>
      <c r="D5" s="18" t="n">
        <v>14241193000000</v>
      </c>
      <c r="E5" s="18" t="n">
        <v>15380027000000</v>
      </c>
      <c r="F5" s="18" t="n">
        <v>15876625000000</v>
      </c>
      <c r="G5" s="18" t="n">
        <v>14253337000000</v>
      </c>
      <c r="H5" s="18" t="n">
        <v>15233514000000</v>
      </c>
      <c r="I5" s="18" t="n">
        <v>14746338000000</v>
      </c>
      <c r="J5" s="18" t="n">
        <v>13663093000000</v>
      </c>
      <c r="K5" s="18" t="n">
        <v>13974792000000</v>
      </c>
      <c r="L5" s="18" t="n">
        <v>15148356000000</v>
      </c>
      <c r="M5" s="18" t="n">
        <v>14057656000000</v>
      </c>
      <c r="N5" s="18" t="n">
        <v>24433885000000</v>
      </c>
      <c r="O5" s="18" t="n">
        <v>24301373000000</v>
      </c>
      <c r="P5" s="18" t="n">
        <v>24432148000000</v>
      </c>
      <c r="Q5" s="18" t="n">
        <v>21885629000000</v>
      </c>
      <c r="R5" s="18" t="n">
        <v>16498602000000</v>
      </c>
      <c r="S5" s="18" t="n">
        <v>20946518000000</v>
      </c>
      <c r="T5" s="5" t="n"/>
      <c r="U5" s="7" t="n"/>
      <c r="V5" s="7" t="n"/>
      <c r="W5" s="7" t="n"/>
      <c r="X5" s="7" t="n"/>
      <c r="Y5" s="7" t="n"/>
      <c r="Z5" s="7" t="n"/>
      <c r="AA5" s="7" t="n"/>
    </row>
    <row r="6" ht="14.25" customHeight="1">
      <c r="A6" s="2" t="inlineStr">
        <is>
          <t>KAS</t>
        </is>
      </c>
      <c r="B6" s="18" t="n">
        <v>6875929000000</v>
      </c>
      <c r="C6" s="18" t="n">
        <v>4192245000000</v>
      </c>
      <c r="D6" s="18" t="n">
        <v>4522194000000</v>
      </c>
      <c r="E6" s="18" t="n">
        <v>4005385000000</v>
      </c>
      <c r="F6" s="18" t="n">
        <v>4037992000000</v>
      </c>
      <c r="G6" s="18" t="n">
        <v>4869845000000</v>
      </c>
      <c r="H6" s="18" t="n">
        <v>4132858000000</v>
      </c>
      <c r="I6" s="18" t="n">
        <v>4539688000000</v>
      </c>
      <c r="J6" s="18" t="n">
        <v>4532266000000</v>
      </c>
      <c r="K6" s="18" t="n">
        <v>3715816000000</v>
      </c>
      <c r="L6" s="18" t="n">
        <v>4138867000000</v>
      </c>
      <c r="M6" s="18" t="n">
        <v>5317733000000</v>
      </c>
      <c r="N6" s="18" t="n">
        <v>15820876000000</v>
      </c>
      <c r="O6" s="18" t="n">
        <v>5824507000000</v>
      </c>
      <c r="P6" s="18" t="n">
        <v>7030343000000</v>
      </c>
      <c r="Q6" s="18" t="n">
        <v>5317691000000</v>
      </c>
      <c r="R6" s="18" t="n">
        <v>4165096000000</v>
      </c>
      <c r="S6" s="18" t="n">
        <v>6105723000000</v>
      </c>
      <c r="T6" s="5" t="n"/>
      <c r="U6" s="7" t="n"/>
      <c r="V6" s="7" t="n"/>
      <c r="W6" s="7" t="n"/>
      <c r="X6" s="7" t="n"/>
      <c r="Y6" s="7" t="n"/>
      <c r="Z6" s="7" t="n"/>
      <c r="AA6" s="7" t="n"/>
    </row>
    <row r="7" ht="14.25" customHeight="1">
      <c r="A7" s="2" t="inlineStr">
        <is>
          <t>liabilitas</t>
        </is>
      </c>
      <c r="B7" s="18" t="n">
        <v>22763845000000</v>
      </c>
      <c r="C7" s="18" t="n">
        <v>19557671000000</v>
      </c>
      <c r="D7" s="18" t="n">
        <v>21300262000000</v>
      </c>
      <c r="E7" s="18" t="n">
        <v>22063478000000</v>
      </c>
      <c r="F7" s="18" t="n">
        <v>22895811000000</v>
      </c>
      <c r="G7" s="18" t="n">
        <v>19187614000000</v>
      </c>
      <c r="H7" s="18" t="n">
        <v>19141764000000</v>
      </c>
      <c r="I7" s="18" t="n">
        <v>19815559000000</v>
      </c>
      <c r="J7" s="18" t="n">
        <v>18868016000000</v>
      </c>
      <c r="K7" s="18" t="n">
        <v>15936049000000</v>
      </c>
      <c r="L7" s="18" t="n">
        <v>17201993000000</v>
      </c>
      <c r="M7" s="18" t="n">
        <v>16576827000000</v>
      </c>
      <c r="N7" s="18" t="n">
        <v>27821245000000</v>
      </c>
      <c r="O7" s="18" t="n">
        <v>16673440000000</v>
      </c>
      <c r="P7" s="18" t="n">
        <v>16443161000000</v>
      </c>
      <c r="Q7" s="18" t="n">
        <v>14782291000000</v>
      </c>
      <c r="R7" s="18" t="n">
        <v>13208418000000</v>
      </c>
      <c r="S7" s="18" t="n">
        <v>12467527000000</v>
      </c>
      <c r="T7" s="5" t="n"/>
      <c r="U7" s="7" t="n"/>
      <c r="V7" s="7" t="n"/>
      <c r="W7" s="7" t="n"/>
      <c r="X7" s="7" t="n"/>
      <c r="Y7" s="7" t="n"/>
      <c r="Z7" s="7" t="n"/>
      <c r="AA7" s="7" t="n"/>
    </row>
    <row r="8" ht="14.25" customHeight="1">
      <c r="A8" s="2" t="inlineStr">
        <is>
          <t>Utang Bank SAJA Jangka Pendek + Panjang jatuh tempo</t>
        </is>
      </c>
      <c r="B8" s="18" t="n">
        <v>55461000000</v>
      </c>
      <c r="C8" s="18" t="n">
        <v>100000000</v>
      </c>
      <c r="D8" s="18" t="n">
        <v>1950100000000</v>
      </c>
      <c r="E8" s="18" t="n">
        <v>3400100000000</v>
      </c>
      <c r="F8" s="18" t="n">
        <v>500100000000</v>
      </c>
      <c r="G8" s="18" t="n">
        <v>1250000000000</v>
      </c>
      <c r="H8" s="18" t="n">
        <v>1397680000000</v>
      </c>
      <c r="I8" s="18" t="n">
        <v>1950000000000</v>
      </c>
      <c r="J8" s="18" t="n">
        <v>2500000000000</v>
      </c>
      <c r="K8" s="18" t="n">
        <v>40000000000</v>
      </c>
      <c r="L8" s="18" t="n">
        <v>68000000000</v>
      </c>
      <c r="M8" s="18" t="n">
        <v>0</v>
      </c>
      <c r="N8" s="18" t="n">
        <v>320000000</v>
      </c>
      <c r="O8" s="18" t="n">
        <v>1280000000</v>
      </c>
      <c r="P8" s="18" t="n">
        <v>2240000000</v>
      </c>
      <c r="Q8" s="18" t="n">
        <v>3200000000</v>
      </c>
      <c r="R8" s="18" t="n">
        <v>3820000000</v>
      </c>
      <c r="S8" s="18" t="n">
        <v>3760000000</v>
      </c>
      <c r="T8" s="5" t="n"/>
      <c r="U8" s="7" t="n"/>
      <c r="V8" s="7" t="n"/>
      <c r="W8" s="7" t="n"/>
      <c r="X8" s="7" t="n"/>
      <c r="Y8" s="7" t="n"/>
      <c r="Z8" s="7" t="n"/>
      <c r="AA8" s="7" t="n"/>
    </row>
    <row r="9" ht="14.25" customHeight="1">
      <c r="A9" s="2" t="inlineStr">
        <is>
          <t>ekuitas</t>
        </is>
      </c>
      <c r="B9" s="18" t="n">
        <v>25225990000000</v>
      </c>
      <c r="C9" s="18" t="n">
        <v>23533169000000</v>
      </c>
      <c r="D9" s="18" t="n">
        <v>22483714000000</v>
      </c>
      <c r="E9" s="18" t="n">
        <v>20663351000000</v>
      </c>
      <c r="F9" s="18" t="n">
        <v>19639757000000</v>
      </c>
      <c r="G9" s="18" t="n">
        <v>22926151000000</v>
      </c>
      <c r="H9" s="18" t="n">
        <v>22505288000000</v>
      </c>
      <c r="I9" s="18" t="n">
        <v>20206465000000</v>
      </c>
      <c r="J9" s="18" t="n">
        <v>19400355000000</v>
      </c>
      <c r="K9" s="18" t="n">
        <v>22340342000000</v>
      </c>
      <c r="L9" s="18" t="n">
        <v>21434538000000</v>
      </c>
      <c r="M9" s="18" t="n">
        <v>19235770000000</v>
      </c>
      <c r="N9" s="18" t="n">
        <v>18292115000000</v>
      </c>
      <c r="O9" s="18" t="n">
        <v>29468700000000</v>
      </c>
      <c r="P9" s="18" t="n">
        <v>28705068000000</v>
      </c>
      <c r="Q9" s="18" t="n">
        <v>26126785000000</v>
      </c>
      <c r="R9" s="18" t="n">
        <v>22453942000000</v>
      </c>
      <c r="S9" s="18" t="n">
        <v>26302851000000</v>
      </c>
      <c r="T9" s="5" t="n"/>
      <c r="U9" s="7" t="n"/>
      <c r="V9" s="7" t="n"/>
      <c r="W9" s="7" t="n"/>
      <c r="X9" s="7" t="n"/>
      <c r="Y9" s="7" t="n"/>
      <c r="Z9" s="7" t="n"/>
      <c r="AA9" s="7" t="n"/>
    </row>
    <row r="10" ht="14.25" customHeight="1">
      <c r="A10" s="2" t="inlineStr">
        <is>
          <t>laba bersih</t>
        </is>
      </c>
      <c r="B10" s="18" t="n">
        <v>2649899000000</v>
      </c>
      <c r="C10" s="18" t="n">
        <v>801794000000</v>
      </c>
      <c r="D10" s="18" t="n">
        <v>2929957000000</v>
      </c>
      <c r="E10" s="18" t="n">
        <v>1394026000000</v>
      </c>
      <c r="F10" s="18" t="n">
        <v>833044000000</v>
      </c>
      <c r="G10" s="18" t="n">
        <v>391479000000</v>
      </c>
      <c r="H10" s="18" t="n">
        <v>5103720000000</v>
      </c>
      <c r="I10" s="18" t="n">
        <v>3230340000000</v>
      </c>
      <c r="J10" s="18" t="n">
        <v>2032838000000</v>
      </c>
      <c r="K10" s="18" t="n">
        <v>790940000000</v>
      </c>
      <c r="L10" s="18" t="n">
        <v>6105856000000</v>
      </c>
      <c r="M10" s="18" t="n">
        <v>3779238000000</v>
      </c>
      <c r="N10" s="18" t="n">
        <v>2775566000000</v>
      </c>
      <c r="O10" s="18" t="n">
        <v>1162932000000</v>
      </c>
      <c r="P10" s="18" t="n">
        <v>12567582000000</v>
      </c>
      <c r="Q10" s="18" t="n">
        <v>10001360000000</v>
      </c>
      <c r="R10" s="18" t="n">
        <v>6156729000000</v>
      </c>
      <c r="S10" s="18" t="n">
        <v>2275393000000</v>
      </c>
      <c r="T10" s="5" t="n"/>
      <c r="U10" s="7" t="n"/>
      <c r="V10" s="7" t="n"/>
      <c r="W10" s="7" t="n"/>
      <c r="X10" s="7" t="n"/>
      <c r="Y10" s="7" t="n"/>
      <c r="Z10" s="7" t="n"/>
      <c r="AA10" s="7" t="n"/>
    </row>
    <row r="11" ht="14.25" customHeight="1">
      <c r="A11" s="6" t="inlineStr">
        <is>
          <t>pendapatan dari kontrak dengan pelanggan</t>
        </is>
      </c>
      <c r="B11" s="18" t="n">
        <v>22027901000000</v>
      </c>
      <c r="C11" s="18" t="n">
        <v>9929722000000</v>
      </c>
      <c r="D11" s="18" t="n">
        <v>42651724000000</v>
      </c>
      <c r="E11" s="18" t="n">
        <v>31330296000000</v>
      </c>
      <c r="F11" s="18" t="n">
        <v>20452391000000</v>
      </c>
      <c r="G11" s="18" t="n">
        <v>9958441000000</v>
      </c>
      <c r="H11" s="18" t="n">
        <v>42764968000000</v>
      </c>
      <c r="I11" s="18" t="n">
        <v>30655933000000</v>
      </c>
      <c r="J11" s="18" t="n">
        <v>19642846000000</v>
      </c>
      <c r="K11" s="18" t="n">
        <v>9409583000000</v>
      </c>
      <c r="L11" s="18" t="n">
        <v>38488867000000</v>
      </c>
      <c r="M11" s="18" t="n">
        <v>27737609000000</v>
      </c>
      <c r="N11" s="18" t="n">
        <v>18858578000000</v>
      </c>
      <c r="O11" s="18" t="n">
        <v>9957130000000</v>
      </c>
      <c r="P11" s="18" t="n">
        <v>42648590000000</v>
      </c>
      <c r="Q11" s="18" t="n">
        <v>31070860000000</v>
      </c>
      <c r="R11" s="18" t="n">
        <v>18423063000000</v>
      </c>
      <c r="S11" s="18" t="n">
        <v>8205116000000</v>
      </c>
      <c r="T11" s="5" t="n"/>
      <c r="U11" s="7" t="n"/>
      <c r="V11" s="7" t="n"/>
      <c r="W11" s="7" t="n"/>
      <c r="X11" s="7" t="n"/>
      <c r="Y11" s="7" t="n"/>
      <c r="Z11" s="7" t="n"/>
      <c r="AA11" s="7" t="n"/>
    </row>
    <row r="12" ht="14.25" customHeight="1">
      <c r="A12" s="2" t="inlineStr">
        <is>
          <t>kas dari aktivitas operasi</t>
        </is>
      </c>
      <c r="B12" s="18" t="n">
        <v>4625730000000</v>
      </c>
      <c r="C12" s="18" t="n">
        <v>2060004000000</v>
      </c>
      <c r="D12" s="18" t="n">
        <v>6260828000000</v>
      </c>
      <c r="E12" s="18" t="n">
        <v>4203484000000</v>
      </c>
      <c r="F12" s="18" t="n">
        <v>2223879000000</v>
      </c>
      <c r="G12" s="18" t="n">
        <v>1212816000000</v>
      </c>
      <c r="H12" s="18" t="n">
        <v>5049190000000</v>
      </c>
      <c r="I12" s="18" t="n">
        <v>4382091000000</v>
      </c>
      <c r="J12" s="18" t="n">
        <v>3066936000000</v>
      </c>
      <c r="K12" s="18" t="n">
        <v>274790000000</v>
      </c>
      <c r="L12" s="18" t="n">
        <v>3104707000000</v>
      </c>
      <c r="M12" s="18" t="n">
        <v>3826200000000</v>
      </c>
      <c r="N12" s="18" t="n">
        <v>1856917000000</v>
      </c>
      <c r="O12" s="18" t="n">
        <v>152968000000</v>
      </c>
      <c r="P12" s="18" t="n">
        <v>12527439000000</v>
      </c>
      <c r="Q12" s="18" t="n">
        <v>9543312000000</v>
      </c>
      <c r="R12" s="18" t="n">
        <v>6170255000000</v>
      </c>
      <c r="S12" s="18" t="n">
        <v>2201043000000</v>
      </c>
      <c r="T12" s="5" t="n"/>
      <c r="U12" s="7" t="n"/>
      <c r="V12" s="7" t="n"/>
      <c r="W12" s="7" t="n"/>
      <c r="X12" s="7" t="n"/>
      <c r="Y12" s="7" t="n"/>
      <c r="Z12" s="7" t="n"/>
      <c r="AA12" s="7" t="n"/>
    </row>
    <row r="13" ht="14.25" customHeight="1">
      <c r="A13" s="2" t="inlineStr">
        <is>
          <t>total share</t>
        </is>
      </c>
      <c r="B13" s="18" t="n">
        <v>11514357250</v>
      </c>
      <c r="C13" s="18" t="n">
        <v>11514357250</v>
      </c>
      <c r="D13" s="18" t="n">
        <v>11514357250</v>
      </c>
      <c r="E13" s="18" t="n">
        <v>11514357250</v>
      </c>
      <c r="F13" s="18" t="n">
        <v>11514357250</v>
      </c>
      <c r="G13" s="18" t="n">
        <v>11514357250</v>
      </c>
      <c r="H13" s="18" t="n">
        <v>11514357250</v>
      </c>
      <c r="I13" s="18" t="n">
        <v>11514357250</v>
      </c>
      <c r="J13" s="18" t="n">
        <v>11514357250</v>
      </c>
      <c r="K13" s="18" t="n">
        <v>11487209350</v>
      </c>
      <c r="L13" s="18" t="n">
        <v>11487209350</v>
      </c>
      <c r="M13" s="18" t="n">
        <v>11487209350</v>
      </c>
      <c r="N13" s="18" t="n">
        <v>11487209350</v>
      </c>
      <c r="O13" s="18" t="n">
        <v>11487209350</v>
      </c>
      <c r="P13" s="18" t="n">
        <v>11487209350</v>
      </c>
      <c r="Q13" s="18" t="n">
        <v>11487209350</v>
      </c>
      <c r="R13" s="18" t="n">
        <v>11487209350</v>
      </c>
      <c r="S13" s="18" t="n">
        <v>11487209350</v>
      </c>
      <c r="T13" s="5" t="n"/>
      <c r="U13" s="7" t="n"/>
      <c r="V13" s="7" t="n"/>
      <c r="W13" s="7" t="n"/>
      <c r="X13" s="7" t="n"/>
      <c r="Y13" s="7" t="n"/>
      <c r="Z13" s="7" t="n"/>
      <c r="AA13" s="7" t="n"/>
    </row>
    <row r="14" ht="14.25" customHeight="1">
      <c r="A14" s="2" t="inlineStr">
        <is>
          <t>Harga saham rupiah</t>
        </is>
      </c>
      <c r="B14" s="4" t="n">
        <v>2370</v>
      </c>
      <c r="C14" s="4" t="n">
        <v>2590</v>
      </c>
      <c r="D14" s="4" t="n">
        <v>2850</v>
      </c>
      <c r="E14" s="4" t="n">
        <v>2350</v>
      </c>
      <c r="F14" s="4" t="n">
        <v>2420</v>
      </c>
      <c r="G14" s="4" t="n">
        <v>3030</v>
      </c>
      <c r="H14" s="5" t="n">
        <v>2860</v>
      </c>
      <c r="I14" s="5" t="n">
        <v>2720</v>
      </c>
      <c r="J14" s="5" t="n">
        <v>2730</v>
      </c>
      <c r="K14" s="5" t="n">
        <v>2430</v>
      </c>
      <c r="L14" s="5" t="n">
        <v>2920</v>
      </c>
      <c r="M14" s="5" t="n">
        <v>2400</v>
      </c>
      <c r="N14" s="5" t="n">
        <v>2770</v>
      </c>
      <c r="O14" s="5" t="n">
        <v>3820</v>
      </c>
      <c r="P14" s="5" t="n">
        <v>3270</v>
      </c>
      <c r="Q14" s="5" t="n">
        <v>3550</v>
      </c>
      <c r="R14" s="5" t="n">
        <v>4080</v>
      </c>
      <c r="S14" s="5" t="n">
        <v>3730</v>
      </c>
      <c r="T14" s="5" t="n">
        <v>4100</v>
      </c>
      <c r="U14" s="7" t="n">
        <v>2550</v>
      </c>
      <c r="V14" s="7" t="n">
        <v>2330</v>
      </c>
      <c r="W14" s="4" t="n">
        <v>2200</v>
      </c>
      <c r="X14" s="7" t="n">
        <v>2260</v>
      </c>
      <c r="Y14" s="7" t="n">
        <v>2110</v>
      </c>
      <c r="Z14" s="7" t="n">
        <v>2080</v>
      </c>
      <c r="AA14" s="7" t="n">
        <v>2470</v>
      </c>
    </row>
    <row r="15" ht="14.25" customHeight="1">
      <c r="A15" s="8" t="inlineStr">
        <is>
          <t>Book Value per share</t>
        </is>
      </c>
      <c r="B15" s="6">
        <f>B9/B13</f>
        <v/>
      </c>
      <c r="C15" s="6">
        <f>C9/C13</f>
        <v/>
      </c>
      <c r="D15" s="6">
        <f>D9/D13</f>
        <v/>
      </c>
      <c r="E15" s="6">
        <f>E9/E13</f>
        <v/>
      </c>
      <c r="F15" s="6">
        <f>F9/F13</f>
        <v/>
      </c>
      <c r="G15" s="6">
        <f>G9/G13</f>
        <v/>
      </c>
      <c r="H15" s="6">
        <f>H9/H13</f>
        <v/>
      </c>
      <c r="I15" s="6">
        <f>I9/I13</f>
        <v/>
      </c>
      <c r="J15" s="6">
        <f>J9/J13</f>
        <v/>
      </c>
      <c r="K15" s="6">
        <f>K9/K13</f>
        <v/>
      </c>
      <c r="L15" s="6">
        <f>L9/L13</f>
        <v/>
      </c>
      <c r="M15" s="6">
        <f>M9/M13</f>
        <v/>
      </c>
      <c r="N15" s="6">
        <f>N9/N13</f>
        <v/>
      </c>
      <c r="O15" s="6">
        <f>O9/O13</f>
        <v/>
      </c>
      <c r="P15" s="6">
        <f>P9/P13</f>
        <v/>
      </c>
      <c r="Q15" s="6">
        <f>Q9/Q13</f>
        <v/>
      </c>
      <c r="R15" s="6">
        <f>R9/R13</f>
        <v/>
      </c>
      <c r="S15" s="6">
        <f>S9/S13</f>
        <v/>
      </c>
      <c r="T15" s="6">
        <f>T9/T13</f>
        <v/>
      </c>
      <c r="U15" s="6">
        <f>U9/U13</f>
        <v/>
      </c>
      <c r="V15" s="6">
        <f>V9/V13</f>
        <v/>
      </c>
      <c r="W15" s="6">
        <f>W9/W13</f>
        <v/>
      </c>
      <c r="X15" s="9">
        <f>X9/X13</f>
        <v/>
      </c>
      <c r="Y15" s="9">
        <f>Y9/Y13</f>
        <v/>
      </c>
      <c r="Z15" s="9">
        <f>Z9/Z13</f>
        <v/>
      </c>
      <c r="AA15" s="9">
        <f>AA9/AA13</f>
        <v/>
      </c>
    </row>
    <row r="16" ht="14.25" customHeight="1">
      <c r="A16" s="8" t="inlineStr">
        <is>
          <t>P1</t>
        </is>
      </c>
      <c r="B16" s="6">
        <f>B5-B7</f>
        <v/>
      </c>
      <c r="C16" s="6">
        <f>C5-C7</f>
        <v/>
      </c>
      <c r="D16" s="6">
        <f>D5-D7</f>
        <v/>
      </c>
      <c r="E16" s="6">
        <f>E5-E7</f>
        <v/>
      </c>
      <c r="F16" s="6">
        <f>F5-F7</f>
        <v/>
      </c>
      <c r="G16" s="6">
        <f>G5-G7</f>
        <v/>
      </c>
      <c r="H16" s="6">
        <f>H5-H7</f>
        <v/>
      </c>
      <c r="I16" s="6">
        <f>I5-I7</f>
        <v/>
      </c>
      <c r="J16" s="6">
        <f>J5-J7</f>
        <v/>
      </c>
      <c r="K16" s="6">
        <f>K5-K7</f>
        <v/>
      </c>
      <c r="L16" s="6">
        <f>L5-L7</f>
        <v/>
      </c>
      <c r="M16" s="6">
        <f>M5-M7</f>
        <v/>
      </c>
      <c r="N16" s="6">
        <f>N5-N7</f>
        <v/>
      </c>
      <c r="O16" s="6">
        <f>O5-O7</f>
        <v/>
      </c>
      <c r="P16" s="6">
        <f>P5-P7</f>
        <v/>
      </c>
      <c r="Q16" s="6">
        <f>Q5-Q7</f>
        <v/>
      </c>
      <c r="R16" s="6">
        <f>R5-R7</f>
        <v/>
      </c>
      <c r="S16" s="6">
        <f>S5-S7</f>
        <v/>
      </c>
      <c r="T16" s="6">
        <f>T5-T7</f>
        <v/>
      </c>
      <c r="U16" s="6">
        <f>U5-U7</f>
        <v/>
      </c>
      <c r="V16" s="6">
        <f>V5-V7</f>
        <v/>
      </c>
      <c r="W16" s="6">
        <f>W5-W7</f>
        <v/>
      </c>
      <c r="X16" s="9">
        <f>X5-X7</f>
        <v/>
      </c>
      <c r="Y16" s="9">
        <f>Y5-Y7</f>
        <v/>
      </c>
      <c r="Z16" s="9">
        <f>Z5-Z7</f>
        <v/>
      </c>
      <c r="AA16" s="9">
        <f>AA5-AA7</f>
        <v/>
      </c>
    </row>
    <row r="17" ht="14.25" customHeight="1">
      <c r="A17" s="8" t="inlineStr">
        <is>
          <t>ROA</t>
        </is>
      </c>
      <c r="B17" s="10">
        <f>B10/B4</f>
        <v/>
      </c>
      <c r="C17" s="10">
        <f>C10/C4</f>
        <v/>
      </c>
      <c r="D17" s="10">
        <f>D10/D4</f>
        <v/>
      </c>
      <c r="E17" s="10">
        <f>E10/E4</f>
        <v/>
      </c>
      <c r="F17" s="10">
        <f>F10/F4</f>
        <v/>
      </c>
      <c r="G17" s="10">
        <f>G10/G4</f>
        <v/>
      </c>
      <c r="H17" s="10">
        <f>H10/H4</f>
        <v/>
      </c>
      <c r="I17" s="10">
        <f>I10/I4</f>
        <v/>
      </c>
      <c r="J17" s="10">
        <f>J10/J4</f>
        <v/>
      </c>
      <c r="K17" s="10">
        <f>K10/K4</f>
        <v/>
      </c>
      <c r="L17" s="10">
        <f>L10/L4</f>
        <v/>
      </c>
      <c r="M17" s="10">
        <f>M10/M4</f>
        <v/>
      </c>
      <c r="N17" s="10">
        <f>N10/N4</f>
        <v/>
      </c>
      <c r="O17" s="10">
        <f>O10/O4</f>
        <v/>
      </c>
      <c r="P17" s="10">
        <f>P10/P4</f>
        <v/>
      </c>
      <c r="Q17" s="10">
        <f>Q10/Q4</f>
        <v/>
      </c>
      <c r="R17" s="10">
        <f>R10/R4</f>
        <v/>
      </c>
      <c r="S17" s="10">
        <f>S10/S4</f>
        <v/>
      </c>
      <c r="T17" s="10">
        <f>T10/T4</f>
        <v/>
      </c>
      <c r="U17" s="10">
        <f>U10/U4</f>
        <v/>
      </c>
      <c r="V17" s="10">
        <f>V10/V4</f>
        <v/>
      </c>
      <c r="W17" s="10">
        <f>W10/W4</f>
        <v/>
      </c>
      <c r="X17" s="10">
        <f>X10/X4</f>
        <v/>
      </c>
      <c r="Y17" s="10">
        <f>Y10/Y4</f>
        <v/>
      </c>
      <c r="Z17" s="10">
        <f>Z10/Z4</f>
        <v/>
      </c>
      <c r="AA17" s="10">
        <f>AA10/AA4</f>
        <v/>
      </c>
    </row>
    <row r="18" ht="14.25" customHeight="1">
      <c r="A18" s="8" t="inlineStr">
        <is>
          <t>ROE</t>
        </is>
      </c>
      <c r="B18" s="10">
        <f>B10/B9</f>
        <v/>
      </c>
      <c r="C18" s="10">
        <f>C10/C9</f>
        <v/>
      </c>
      <c r="D18" s="10">
        <f>D10/D9</f>
        <v/>
      </c>
      <c r="E18" s="10">
        <f>E10/E9</f>
        <v/>
      </c>
      <c r="F18" s="10">
        <f>F10/F9</f>
        <v/>
      </c>
      <c r="G18" s="10">
        <f>G10/G9</f>
        <v/>
      </c>
      <c r="H18" s="10">
        <f>H10/H9</f>
        <v/>
      </c>
      <c r="I18" s="10">
        <f>I10/I9</f>
        <v/>
      </c>
      <c r="J18" s="10">
        <f>J10/J9</f>
        <v/>
      </c>
      <c r="K18" s="10">
        <f>K10/K9</f>
        <v/>
      </c>
      <c r="L18" s="10">
        <f>L10/L9</f>
        <v/>
      </c>
      <c r="M18" s="10">
        <f>M10/M9</f>
        <v/>
      </c>
      <c r="N18" s="10">
        <f>N10/N9</f>
        <v/>
      </c>
      <c r="O18" s="10">
        <f>O10/O9</f>
        <v/>
      </c>
      <c r="P18" s="10">
        <f>P10/P9</f>
        <v/>
      </c>
      <c r="Q18" s="10">
        <f>Q10/Q9</f>
        <v/>
      </c>
      <c r="R18" s="10">
        <f>R10/R9</f>
        <v/>
      </c>
      <c r="S18" s="10">
        <f>S10/S9</f>
        <v/>
      </c>
      <c r="T18" s="10">
        <f>T10/T9</f>
        <v/>
      </c>
      <c r="U18" s="10">
        <f>U10/U9</f>
        <v/>
      </c>
      <c r="V18" s="10">
        <f>V10/V9</f>
        <v/>
      </c>
      <c r="W18" s="10">
        <f>W10/W9</f>
        <v/>
      </c>
      <c r="X18" s="10">
        <f>X10/X9</f>
        <v/>
      </c>
      <c r="Y18" s="10">
        <f>Y10/Y9</f>
        <v/>
      </c>
      <c r="Z18" s="10">
        <f>Z10/Z9</f>
        <v/>
      </c>
      <c r="AA18" s="10">
        <f>AA10/AA9</f>
        <v/>
      </c>
    </row>
    <row r="19" ht="14.25" customHeight="1">
      <c r="A19" s="8" t="inlineStr">
        <is>
          <t>PBV</t>
        </is>
      </c>
      <c r="B19" s="11">
        <f>B14/B15</f>
        <v/>
      </c>
      <c r="C19" s="11">
        <f>C14/C15</f>
        <v/>
      </c>
      <c r="D19" s="11">
        <f>D14/D15</f>
        <v/>
      </c>
      <c r="E19" s="11">
        <f>E14/E15</f>
        <v/>
      </c>
      <c r="F19" s="11">
        <f>F14/F15</f>
        <v/>
      </c>
      <c r="G19" s="11">
        <f>G14/G15</f>
        <v/>
      </c>
      <c r="H19" s="11">
        <f>H14/H15</f>
        <v/>
      </c>
      <c r="I19" s="11">
        <f>I14/I15</f>
        <v/>
      </c>
      <c r="J19" s="11">
        <f>J14/J15</f>
        <v/>
      </c>
      <c r="K19" s="11">
        <f>K14/K15</f>
        <v/>
      </c>
      <c r="L19" s="11">
        <f>L14/L15</f>
        <v/>
      </c>
      <c r="M19" s="11">
        <f>M14/M15</f>
        <v/>
      </c>
      <c r="N19" s="11">
        <f>N14/N15</f>
        <v/>
      </c>
      <c r="O19" s="11">
        <f>O14/O15</f>
        <v/>
      </c>
      <c r="P19" s="11">
        <f>P14/P15</f>
        <v/>
      </c>
      <c r="Q19" s="11">
        <f>Q14/Q15</f>
        <v/>
      </c>
      <c r="R19" s="11">
        <f>R14/R15</f>
        <v/>
      </c>
      <c r="S19" s="11">
        <f>S14/S15</f>
        <v/>
      </c>
      <c r="T19" s="11">
        <f>T14/T15</f>
        <v/>
      </c>
      <c r="U19" s="11">
        <f>U14/U15</f>
        <v/>
      </c>
      <c r="V19" s="11">
        <f>V14/V15</f>
        <v/>
      </c>
      <c r="W19" s="11">
        <f>W14/W15</f>
        <v/>
      </c>
      <c r="X19" s="9">
        <f>X14/X15</f>
        <v/>
      </c>
      <c r="Y19" s="9">
        <f>Y14/Y15</f>
        <v/>
      </c>
      <c r="Z19" s="9">
        <f>Z14/Z15</f>
        <v/>
      </c>
      <c r="AA19" s="9">
        <f>AA14/AA15</f>
        <v/>
      </c>
    </row>
    <row r="20" ht="14.25" customHeight="1">
      <c r="A20" s="8" t="inlineStr">
        <is>
          <t>PE</t>
        </is>
      </c>
      <c r="B20" s="11">
        <f>B14/B21</f>
        <v/>
      </c>
      <c r="C20" s="11">
        <f>C14/C21</f>
        <v/>
      </c>
      <c r="D20" s="11">
        <f>D14/D21</f>
        <v/>
      </c>
      <c r="E20" s="11">
        <f>E14/E21</f>
        <v/>
      </c>
      <c r="F20" s="11">
        <f>F14/F21</f>
        <v/>
      </c>
      <c r="G20" s="11">
        <f>G14/G21</f>
        <v/>
      </c>
      <c r="H20" s="11">
        <f>H14/H21</f>
        <v/>
      </c>
      <c r="I20" s="11">
        <f>I14/I21</f>
        <v/>
      </c>
      <c r="J20" s="11">
        <f>J14/J21</f>
        <v/>
      </c>
      <c r="K20" s="11">
        <f>K14/K21</f>
        <v/>
      </c>
      <c r="L20" s="11">
        <f>L14/L21</f>
        <v/>
      </c>
      <c r="M20" s="11">
        <f>M14/M21</f>
        <v/>
      </c>
      <c r="N20" s="11">
        <f>N14/N21</f>
        <v/>
      </c>
      <c r="O20" s="11">
        <f>O14/O21</f>
        <v/>
      </c>
      <c r="P20" s="11">
        <f>P14/P21</f>
        <v/>
      </c>
      <c r="Q20" s="11">
        <f>Q14/Q21</f>
        <v/>
      </c>
      <c r="R20" s="11">
        <f>R14/R21</f>
        <v/>
      </c>
      <c r="S20" s="11">
        <f>S14/S21</f>
        <v/>
      </c>
      <c r="T20" s="11">
        <f>T14/T21</f>
        <v/>
      </c>
      <c r="U20" s="11">
        <f>U14/U21</f>
        <v/>
      </c>
      <c r="V20" s="11">
        <f>V14/V21</f>
        <v/>
      </c>
      <c r="W20" s="11">
        <f>W14/W21</f>
        <v/>
      </c>
      <c r="X20" s="9">
        <f>X14/X21</f>
        <v/>
      </c>
      <c r="Y20" s="9">
        <f>Y14/Y21</f>
        <v/>
      </c>
      <c r="Z20" s="9">
        <f>Z14/Z21</f>
        <v/>
      </c>
      <c r="AA20" s="9">
        <f>AA14/AA21</f>
        <v/>
      </c>
    </row>
    <row r="21" ht="14.25" customHeight="1">
      <c r="A21" s="8" t="inlineStr">
        <is>
          <t>EPS</t>
        </is>
      </c>
      <c r="B21" s="6">
        <f>B10/B13</f>
        <v/>
      </c>
      <c r="C21" s="6">
        <f>C10/C13</f>
        <v/>
      </c>
      <c r="D21" s="6">
        <f>D10/D13</f>
        <v/>
      </c>
      <c r="E21" s="6">
        <f>E10/E13</f>
        <v/>
      </c>
      <c r="F21" s="6">
        <f>F10/F13</f>
        <v/>
      </c>
      <c r="G21" s="6">
        <f>G10/G13</f>
        <v/>
      </c>
      <c r="H21" s="6">
        <f>H10/H13</f>
        <v/>
      </c>
      <c r="I21" s="6">
        <f>I10/I13</f>
        <v/>
      </c>
      <c r="J21" s="6">
        <f>J10/J13</f>
        <v/>
      </c>
      <c r="K21" s="6">
        <f>K10/K13</f>
        <v/>
      </c>
      <c r="L21" s="6">
        <f>L10/L13</f>
        <v/>
      </c>
      <c r="M21" s="6">
        <f>M10/M13</f>
        <v/>
      </c>
      <c r="N21" s="6">
        <f>N10/N13</f>
        <v/>
      </c>
      <c r="O21" s="6">
        <f>O10/O13</f>
        <v/>
      </c>
      <c r="P21" s="6">
        <f>P10/P13</f>
        <v/>
      </c>
      <c r="Q21" s="6">
        <f>Q10/Q13</f>
        <v/>
      </c>
      <c r="R21" s="6">
        <f>R10/R13</f>
        <v/>
      </c>
      <c r="S21" s="6">
        <f>S10/S13</f>
        <v/>
      </c>
      <c r="T21" s="6">
        <f>T10/T13</f>
        <v/>
      </c>
      <c r="U21" s="6">
        <f>U10/U13</f>
        <v/>
      </c>
      <c r="V21" s="6">
        <f>V10/V13</f>
        <v/>
      </c>
      <c r="W21" s="6">
        <f>W10/W13</f>
        <v/>
      </c>
      <c r="X21" s="9">
        <f>X10/X13</f>
        <v/>
      </c>
      <c r="Y21" s="9">
        <f>Y10/Y13</f>
        <v/>
      </c>
      <c r="Z21" s="9">
        <f>Z10/Z13</f>
        <v/>
      </c>
      <c r="AA21" s="9">
        <f>AA10/AA13</f>
        <v/>
      </c>
    </row>
    <row r="22" ht="14.25" customHeight="1">
      <c r="A22" s="8" t="inlineStr">
        <is>
          <t>DER</t>
        </is>
      </c>
      <c r="B22" s="10">
        <f>B7/B9</f>
        <v/>
      </c>
      <c r="C22" s="10">
        <f>C7/C9</f>
        <v/>
      </c>
      <c r="D22" s="10">
        <f>D7/D9</f>
        <v/>
      </c>
      <c r="E22" s="10">
        <f>E7/E9</f>
        <v/>
      </c>
      <c r="F22" s="10">
        <f>F7/F9</f>
        <v/>
      </c>
      <c r="G22" s="10">
        <f>G7/G9</f>
        <v/>
      </c>
      <c r="H22" s="10">
        <f>H7/H9</f>
        <v/>
      </c>
      <c r="I22" s="10">
        <f>I7/I9</f>
        <v/>
      </c>
      <c r="J22" s="10">
        <f>J7/J9</f>
        <v/>
      </c>
      <c r="K22" s="10">
        <f>K7/K9</f>
        <v/>
      </c>
      <c r="L22" s="10">
        <f>L7/L9</f>
        <v/>
      </c>
      <c r="M22" s="10">
        <f>M7/M9</f>
        <v/>
      </c>
      <c r="N22" s="10">
        <f>N7/N9</f>
        <v/>
      </c>
      <c r="O22" s="10">
        <f>O7/O9</f>
        <v/>
      </c>
      <c r="P22" s="10">
        <f>P7/P9</f>
        <v/>
      </c>
      <c r="Q22" s="10">
        <f>Q7/Q9</f>
        <v/>
      </c>
      <c r="R22" s="10">
        <f>R7/R9</f>
        <v/>
      </c>
      <c r="S22" s="10">
        <f>S7/S9</f>
        <v/>
      </c>
      <c r="T22" s="10">
        <f>T7/T9</f>
        <v/>
      </c>
      <c r="U22" s="10">
        <f>U7/U9</f>
        <v/>
      </c>
      <c r="V22" s="10">
        <f>V7/V9</f>
        <v/>
      </c>
      <c r="W22" s="10">
        <f>W7/W9</f>
        <v/>
      </c>
      <c r="X22" s="10">
        <f>X7/X9</f>
        <v/>
      </c>
      <c r="Y22" s="10">
        <f>Y7/Y9</f>
        <v/>
      </c>
      <c r="Z22" s="10">
        <f>Z7/Z9</f>
        <v/>
      </c>
      <c r="AA22" s="10">
        <f>AA7/AA9</f>
        <v/>
      </c>
    </row>
    <row r="23" ht="14.25" customHeight="1"/>
    <row r="24" ht="14.25" customHeight="1"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</row>
    <row r="25" ht="14.25" customHeight="1"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</row>
    <row r="26" ht="14.25" customHeight="1"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</row>
    <row r="27" ht="14.25" customHeight="1"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</row>
    <row r="28" ht="14.25" customHeight="1"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</row>
    <row r="29" ht="14.25" customHeight="1"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</row>
    <row r="30" ht="14.25" customHeight="1"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</row>
    <row r="31" ht="14.25" customHeight="1"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</row>
    <row r="32" ht="14.25" customHeight="1"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</row>
    <row r="33" ht="14.25" customHeight="1"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</row>
    <row r="34" ht="14.25" customHeight="1"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</row>
    <row r="35" ht="14.25" customHeight="1"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</row>
    <row r="36" ht="14.25" customHeight="1"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</row>
    <row r="37" ht="14.25" customHeight="1"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</row>
    <row r="38" ht="14.25" customHeight="1"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</row>
    <row r="39" ht="14.25" customHeight="1"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</row>
    <row r="40" ht="14.25" customHeight="1"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</row>
    <row r="41" ht="14.25" customHeight="1"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</row>
    <row r="42" ht="14.25" customHeight="1"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 ht="14.25" customHeight="1"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</row>
    <row r="44" ht="14.25" customHeight="1"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</row>
    <row r="45" ht="14.25" customHeight="1"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</row>
    <row r="46" ht="14.25" customHeight="1"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</row>
    <row r="47" ht="14.25" customHeight="1"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</row>
    <row r="48" ht="14.25" customHeight="1"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</row>
    <row r="49" ht="14.25" customHeight="1"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</row>
    <row r="50" ht="14.25" customHeight="1"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</row>
    <row r="51" ht="14.25" customHeight="1"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</row>
    <row r="52" ht="14.25" customHeight="1"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</row>
    <row r="53" ht="14.25" customHeight="1"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 ht="14.25" customHeight="1"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H2" sqref="H2"/>
    </sheetView>
  </sheetViews>
  <sheetFormatPr baseColWidth="10" defaultRowHeight="15"/>
  <cols>
    <col width="11.83203125" bestFit="1" customWidth="1" min="3" max="3"/>
    <col width="19.33203125" bestFit="1" customWidth="1" min="4" max="4"/>
    <col width="17.33203125" bestFit="1" customWidth="1" min="6" max="8"/>
  </cols>
  <sheetData>
    <row r="1">
      <c r="A1" t="inlineStr">
        <is>
          <t>Kurs</t>
        </is>
      </c>
      <c r="B1" t="inlineStr">
        <is>
          <t>USD to IDR</t>
        </is>
      </c>
      <c r="C1" t="inlineStr">
        <is>
          <t>Value</t>
        </is>
      </c>
      <c r="D1" t="inlineStr">
        <is>
          <t>Converted</t>
        </is>
      </c>
    </row>
    <row r="2">
      <c r="A2" s="14" t="n">
        <v>0.0673</v>
      </c>
      <c r="B2">
        <f>1000/A2</f>
        <v/>
      </c>
      <c r="C2" s="15" t="n">
        <v>247029168</v>
      </c>
      <c r="D2" s="12">
        <f>B2*C2</f>
        <v/>
      </c>
      <c r="F2" s="16" t="n">
        <v>3868963000000</v>
      </c>
      <c r="G2" s="16" t="n">
        <v>555246000000</v>
      </c>
      <c r="H2" s="13">
        <f>F2+G2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10"/>
  <sheetViews>
    <sheetView workbookViewId="0">
      <selection activeCell="A1" sqref="A1"/>
    </sheetView>
  </sheetViews>
  <sheetFormatPr baseColWidth="10" defaultColWidth="12.6640625" defaultRowHeight="15" customHeight="1"/>
  <cols>
    <col width="27.83203125" customWidth="1" min="1" max="1"/>
    <col width="25.1640625" customWidth="1" min="2" max="2"/>
    <col width="24.5" customWidth="1" min="3" max="3"/>
  </cols>
  <sheetData>
    <row r="1">
      <c r="A1" s="1" t="inlineStr">
        <is>
          <t>Perusahaan</t>
        </is>
      </c>
      <c r="B1" s="1" t="inlineStr">
        <is>
          <t xml:space="preserve">Lokasi </t>
        </is>
      </c>
      <c r="C1" s="1" t="inlineStr">
        <is>
          <t>Luasan</t>
        </is>
      </c>
      <c r="D1" s="1" t="inlineStr">
        <is>
          <t>Luasan</t>
        </is>
      </c>
    </row>
    <row r="2">
      <c r="A2" s="3" t="inlineStr">
        <is>
          <t>PT Cipta Davia Mandiri</t>
        </is>
      </c>
      <c r="B2" s="1" t="inlineStr">
        <is>
          <t xml:space="preserve">Kutai Timur, Kaltim </t>
        </is>
      </c>
      <c r="C2" s="1" t="n">
        <v>3734</v>
      </c>
      <c r="D2" s="1" t="inlineStr">
        <is>
          <t>Hektar</t>
        </is>
      </c>
    </row>
    <row r="3">
      <c r="A3" s="1" t="inlineStr">
        <is>
          <t>PT Cahaya Anugrah Plantation</t>
        </is>
      </c>
      <c r="B3" s="1" t="inlineStr">
        <is>
          <t>Kutai Kartanegara, Kaltim</t>
        </is>
      </c>
      <c r="C3" s="1" t="n">
        <v>6365</v>
      </c>
      <c r="D3" s="1" t="inlineStr">
        <is>
          <t>Hektar</t>
        </is>
      </c>
    </row>
    <row r="4">
      <c r="A4" s="3" t="inlineStr">
        <is>
          <t>Multi Jayantara Abadi</t>
        </is>
      </c>
      <c r="B4" s="3" t="inlineStr">
        <is>
          <t>Paser, Kaltim</t>
        </is>
      </c>
      <c r="C4" s="3" t="n">
        <v>6267</v>
      </c>
      <c r="D4" s="1" t="inlineStr">
        <is>
          <t>Hektar</t>
        </is>
      </c>
    </row>
    <row r="5">
      <c r="A5" s="3" t="inlineStr">
        <is>
          <t>Gemilang Sejahtera Abadi</t>
        </is>
      </c>
      <c r="B5" s="3" t="inlineStr">
        <is>
          <t>Kutai Timur, Kaltim</t>
        </is>
      </c>
      <c r="C5" s="3" t="n">
        <v>5029</v>
      </c>
      <c r="D5" s="1" t="inlineStr">
        <is>
          <t>Hektar</t>
        </is>
      </c>
    </row>
    <row r="6">
      <c r="A6" s="3" t="inlineStr">
        <is>
          <t>Telen Prima Sawit</t>
        </is>
      </c>
      <c r="B6" s="3" t="inlineStr">
        <is>
          <t>Kutai Timur, Kaltim</t>
        </is>
      </c>
      <c r="C6" s="3" t="n">
        <v>10794</v>
      </c>
      <c r="D6" s="1" t="inlineStr">
        <is>
          <t>Hektar</t>
        </is>
      </c>
    </row>
    <row r="7">
      <c r="A7" s="3" t="inlineStr">
        <is>
          <t>Sawit Prima Nusantara</t>
        </is>
      </c>
      <c r="B7" s="3" t="inlineStr">
        <is>
          <t>Kutai Timur, Kaltim</t>
        </is>
      </c>
      <c r="C7" s="3" t="n">
        <v>3356</v>
      </c>
      <c r="D7" s="1" t="inlineStr">
        <is>
          <t>Hektar</t>
        </is>
      </c>
    </row>
    <row r="8">
      <c r="A8" s="1" t="inlineStr">
        <is>
          <t xml:space="preserve"> Telen</t>
        </is>
      </c>
      <c r="B8" s="3" t="inlineStr">
        <is>
          <t>Kutai Timur, Kaltim</t>
        </is>
      </c>
      <c r="C8" s="3" t="n">
        <v>16348</v>
      </c>
      <c r="D8" s="1" t="inlineStr">
        <is>
          <t>Hektar</t>
        </is>
      </c>
    </row>
    <row r="9">
      <c r="A9" s="3" t="inlineStr">
        <is>
          <t>Inti Energi Kaltim</t>
        </is>
      </c>
      <c r="B9" s="3" t="inlineStr">
        <is>
          <t>Berau, Kaltim</t>
        </is>
      </c>
      <c r="C9" s="3" t="n">
        <v>1528</v>
      </c>
      <c r="D9" s="1" t="inlineStr">
        <is>
          <t>Hektar</t>
        </is>
      </c>
    </row>
    <row r="10">
      <c r="A10" s="3" t="inlineStr">
        <is>
          <t>Tanjung Buyu Perkasa Plantation</t>
        </is>
      </c>
      <c r="B10" s="3" t="inlineStr">
        <is>
          <t>Berau, Kaltim</t>
        </is>
      </c>
      <c r="C10" s="3" t="n">
        <v>11009</v>
      </c>
      <c r="D10" s="1" t="inlineStr">
        <is>
          <t>Hektar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Digitaloffice05679</dc:creator>
  <dcterms:created xsi:type="dcterms:W3CDTF">2025-11-28T07:59:29Z</dcterms:created>
  <dcterms:modified xsi:type="dcterms:W3CDTF">2026-09-15T11:09:07Z</dcterms:modified>
  <cp:lastModifiedBy>Muhammad Najmi Rahmani</cp:lastModifiedBy>
</cp:coreProperties>
</file>