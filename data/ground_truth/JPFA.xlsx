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B1324681-C123-4F44-85F7-6682E19107A0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2" r:id="rId2"/>
    <sheet name="lokasi kebu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B2" i="2"/>
  <c r="D2" i="2" s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W21" i="1"/>
  <c r="V21" i="1"/>
  <c r="V20" i="1" s="1"/>
  <c r="U21" i="1"/>
  <c r="U20" i="1" s="1"/>
  <c r="T21" i="1"/>
  <c r="T20" i="1" s="1"/>
  <c r="S21" i="1"/>
  <c r="S20" i="1" s="1"/>
  <c r="R21" i="1"/>
  <c r="Q21" i="1"/>
  <c r="P21" i="1"/>
  <c r="O21" i="1"/>
  <c r="N21" i="1"/>
  <c r="M21" i="1"/>
  <c r="L21" i="1"/>
  <c r="L20" i="1" s="1"/>
  <c r="K21" i="1"/>
  <c r="K20" i="1" s="1"/>
  <c r="J21" i="1"/>
  <c r="J20" i="1" s="1"/>
  <c r="I21" i="1"/>
  <c r="I20" i="1" s="1"/>
  <c r="H21" i="1"/>
  <c r="G21" i="1"/>
  <c r="F21" i="1"/>
  <c r="E21" i="1"/>
  <c r="D21" i="1"/>
  <c r="C21" i="1"/>
  <c r="B21" i="1"/>
  <c r="B20" i="1" s="1"/>
  <c r="AA20" i="1"/>
  <c r="Z20" i="1"/>
  <c r="Y20" i="1"/>
  <c r="X20" i="1"/>
  <c r="W20" i="1"/>
  <c r="R20" i="1"/>
  <c r="Q20" i="1"/>
  <c r="P20" i="1"/>
  <c r="O20" i="1"/>
  <c r="N20" i="1"/>
  <c r="M20" i="1"/>
  <c r="H20" i="1"/>
  <c r="G20" i="1"/>
  <c r="F20" i="1"/>
  <c r="E20" i="1"/>
  <c r="D20" i="1"/>
  <c r="C20" i="1"/>
  <c r="X19" i="1"/>
  <c r="W19" i="1"/>
  <c r="V19" i="1"/>
  <c r="U19" i="1"/>
  <c r="T19" i="1"/>
  <c r="N19" i="1"/>
  <c r="M19" i="1"/>
  <c r="L19" i="1"/>
  <c r="K19" i="1"/>
  <c r="J19" i="1"/>
  <c r="D19" i="1"/>
  <c r="C19" i="1"/>
  <c r="B19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Y19" i="1" s="1"/>
  <c r="X15" i="1"/>
  <c r="W15" i="1"/>
  <c r="V15" i="1"/>
  <c r="U15" i="1"/>
  <c r="T15" i="1"/>
  <c r="S15" i="1"/>
  <c r="S19" i="1" s="1"/>
  <c r="R15" i="1"/>
  <c r="R19" i="1" s="1"/>
  <c r="Q15" i="1"/>
  <c r="Q19" i="1" s="1"/>
  <c r="P15" i="1"/>
  <c r="P19" i="1" s="1"/>
  <c r="O15" i="1"/>
  <c r="O19" i="1" s="1"/>
  <c r="N15" i="1"/>
  <c r="M15" i="1"/>
  <c r="L15" i="1"/>
  <c r="K15" i="1"/>
  <c r="J15" i="1"/>
  <c r="I15" i="1"/>
  <c r="I19" i="1" s="1"/>
  <c r="H15" i="1"/>
  <c r="H19" i="1" s="1"/>
  <c r="G15" i="1"/>
  <c r="G19" i="1" s="1"/>
  <c r="F15" i="1"/>
  <c r="F19" i="1" s="1"/>
  <c r="E15" i="1"/>
  <c r="E19" i="1" s="1"/>
  <c r="D15" i="1"/>
  <c r="C15" i="1"/>
  <c r="B15" i="1"/>
</calcChain>
</file>

<file path=xl/sharedStrings.xml><?xml version="1.0" encoding="utf-8"?>
<sst xmlns="http://schemas.openxmlformats.org/spreadsheetml/2006/main" count="84" uniqueCount="71">
  <si>
    <t>(HANYA YANG BISA DIATRIBUSIKAN KE ENTITAS INDUK SAJA)</t>
  </si>
  <si>
    <t>JPFA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</si>
  <si>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</si>
  <si>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</si>
  <si>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</si>
  <si>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</si>
  <si>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</si>
  <si>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</si>
  <si>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</si>
  <si>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</si>
  <si>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</si>
  <si>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</si>
  <si>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</si>
  <si>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</si>
  <si>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</si>
  <si>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</si>
  <si>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</si>
  <si>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</si>
  <si>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</si>
  <si>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</si>
  <si>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</si>
  <si>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</si>
  <si>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</si>
  <si>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</si>
  <si>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</si>
  <si>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</si>
  <si>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</si>
  <si>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</si>
  <si>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</si>
  <si>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</si>
  <si>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</si>
  <si>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</si>
  <si>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</si>
  <si>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</si>
  <si>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</si>
  <si>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</si>
  <si>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</si>
  <si>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</si>
  <si>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</si>
  <si>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</si>
  <si>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</si>
  <si>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</si>
  <si>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</si>
  <si>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</si>
  <si>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</si>
  <si>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</si>
  <si>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</si>
  <si>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</si>
  <si>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</si>
  <si>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Kurs</t>
  </si>
  <si>
    <t>USD to IDR</t>
  </si>
  <si>
    <t>Value</t>
  </si>
  <si>
    <t>Converted</t>
  </si>
  <si>
    <t>Perusahaan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</si>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</sst>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8" x14ac:knownFonts="1"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color theme="1"/>
      <name val="Aptos Narrow"/>
      <scheme val="minor"/>
    </font>
    <font>
      <sz val="11"/>
      <color theme="1"/>
      <name val="Tahoma"/>
      <family val="2"/>
    </font>
    <font>
      <sz val="9"/>
      <color rgb="FF000000"/>
      <name val="Helvetica"/>
      <family val="2"/>
    </font>
    <font>
      <sz val="8"/>
      <color rgb="FF000000"/>
      <name val="Arial"/>
      <family val="2"/>
    </font>
    <font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0" fontId="4" fillId="0" borderId="0" xfId="0" applyFont="1"/>
    <xf numFmtId="41" fontId="0" fillId="0" borderId="0" xfId="1" applyFont="1"/>
    <xf numFmtId="41" fontId="0" fillId="0" borderId="0" xfId="0" applyNumberFormat="1"/>
    <xf numFmtId="0" fontId="5" fillId="0" borderId="0" xfId="0" applyFont="1"/>
    <xf numFmtId="3" fontId="5" fillId="0" borderId="0" xfId="0" applyNumberFormat="1" applyFont="1"/>
    <xf numFmtId="3" fontId="6" fillId="0" borderId="0" xfId="0" applyNumberFormat="1" applyFont="1"/>
    <xf numFmtId="0" fontId="7" fillId="0" borderId="0" xfId="0" applyFont="1"/>
    <xf numFmtId="41" fontId="3" fillId="0" borderId="0" xfId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B1" activePane="topRight" state="frozen"/>
      <selection pane="topRight" activeCell="L40" sqref="L40:O49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7.6640625" customWidth="1"/>
    <col min="9" max="9" width="19.5" customWidth="1"/>
    <col min="10" max="10" width="17.5" customWidth="1"/>
    <col min="11" max="11" width="17.1640625" customWidth="1"/>
    <col min="12" max="15" width="18.33203125" bestFit="1" customWidth="1"/>
    <col min="16" max="17" width="18.6640625" bestFit="1" customWidth="1"/>
    <col min="18" max="18" width="32.83203125" bestFit="1" customWidth="1"/>
    <col min="19" max="19" width="18.66406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0</v>
      </c>
      <c r="D1" s="13" t="s">
        <v>1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2</v>
      </c>
      <c r="D2" s="4"/>
      <c r="E2" s="2"/>
      <c r="F2" s="2" t="s">
        <v>3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4</v>
      </c>
      <c r="C3" s="1" t="s">
        <v>5</v>
      </c>
      <c r="D3" s="1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2" t="s">
        <v>12</v>
      </c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6" t="s">
        <v>28</v>
      </c>
      <c r="AA3" s="6" t="s">
        <v>29</v>
      </c>
    </row>
    <row r="4" spans="1:27" ht="14.25" customHeight="1" x14ac:dyDescent="0.2">
      <c r="A4" s="2" t="s">
        <v>30</v>
      </c>
      <c r="B4" s="20">
        <v>45145132000000</v>
      </c>
      <c r="C4" s="20">
        <v>39333812000000</v>
      </c>
      <c r="D4" s="20">
        <v>40060430000000</v>
      </c>
      <c r="E4" s="20">
        <v>37302787000000</v>
      </c>
      <c r="F4" s="20">
        <v>36374425000000</v>
      </c>
      <c r="G4" s="20">
        <v>35552680000000</v>
      </c>
      <c r="H4" s="20">
        <v>34666283000000</v>
      </c>
      <c r="I4" s="20">
        <v>35534772000000</v>
      </c>
      <c r="J4" s="20">
        <v>36108789000000</v>
      </c>
      <c r="K4" s="20">
        <v>35759687000000</v>
      </c>
      <c r="L4" s="20">
        <v>34109431000000</v>
      </c>
      <c r="M4" s="20">
        <v>34846236000000</v>
      </c>
      <c r="N4" s="20">
        <v>33884917000000</v>
      </c>
      <c r="O4" s="20">
        <v>33273923000000</v>
      </c>
      <c r="P4" s="7">
        <v>32690887000000</v>
      </c>
      <c r="Q4" s="14">
        <v>33230376000000</v>
      </c>
      <c r="R4" s="7">
        <v>32815710000000</v>
      </c>
      <c r="S4" s="7">
        <v>30134349000000</v>
      </c>
      <c r="T4" s="5"/>
      <c r="U4" s="8"/>
      <c r="V4" s="8"/>
      <c r="W4" s="8"/>
      <c r="X4" s="8"/>
      <c r="Y4" s="8"/>
      <c r="Z4" s="8"/>
      <c r="AA4" s="8"/>
    </row>
    <row r="5" spans="1:27" ht="14.25" customHeight="1" x14ac:dyDescent="0.2">
      <c r="A5" s="2" t="s">
        <v>31</v>
      </c>
      <c r="B5" s="20">
        <v>24480974000000</v>
      </c>
      <c r="C5" s="20">
        <v>20010798000000</v>
      </c>
      <c r="D5" s="20">
        <v>21376175000000</v>
      </c>
      <c r="E5" s="20">
        <v>19647365000000</v>
      </c>
      <c r="F5" s="20">
        <v>18615142000000</v>
      </c>
      <c r="G5" s="20">
        <v>17931724000000</v>
      </c>
      <c r="H5" s="20">
        <v>17169254000000</v>
      </c>
      <c r="I5" s="20">
        <v>18433129000000</v>
      </c>
      <c r="J5" s="20">
        <v>18969703000000</v>
      </c>
      <c r="K5" s="20">
        <v>18612251000000</v>
      </c>
      <c r="L5" s="20">
        <v>17218323000000</v>
      </c>
      <c r="M5" s="20">
        <v>18242374000000</v>
      </c>
      <c r="N5" s="20">
        <v>17620797000000</v>
      </c>
      <c r="O5" s="20">
        <v>17386622000000</v>
      </c>
      <c r="P5" s="6">
        <v>17001468000000</v>
      </c>
      <c r="Q5" s="5">
        <v>17984770000000</v>
      </c>
      <c r="R5" s="7">
        <v>18119607000000</v>
      </c>
      <c r="S5" s="7">
        <v>15719276000000</v>
      </c>
      <c r="T5" s="5"/>
      <c r="U5" s="8"/>
      <c r="V5" s="8"/>
      <c r="W5" s="8"/>
      <c r="X5" s="8"/>
      <c r="Y5" s="8"/>
      <c r="Z5" s="8"/>
      <c r="AA5" s="8"/>
    </row>
    <row r="6" spans="1:27" ht="14.25" customHeight="1" x14ac:dyDescent="0.2">
      <c r="A6" s="2" t="s">
        <v>32</v>
      </c>
      <c r="B6" s="20">
        <v>2596987000000</v>
      </c>
      <c r="C6" s="20">
        <v>1849630000000</v>
      </c>
      <c r="D6" s="20">
        <v>3550006000000</v>
      </c>
      <c r="E6" s="20">
        <v>1720300000000</v>
      </c>
      <c r="F6" s="20">
        <v>1734965000000</v>
      </c>
      <c r="G6" s="20">
        <v>1741131000000</v>
      </c>
      <c r="H6" s="20">
        <v>1353714000000</v>
      </c>
      <c r="I6" s="20">
        <v>1363031000000</v>
      </c>
      <c r="J6" s="20">
        <v>1451708000000</v>
      </c>
      <c r="K6" s="20">
        <v>1608811000000</v>
      </c>
      <c r="L6" s="20">
        <v>1502603000000</v>
      </c>
      <c r="M6" s="20">
        <v>1444543000000</v>
      </c>
      <c r="N6" s="20">
        <v>1553646000000</v>
      </c>
      <c r="O6" s="20">
        <v>1384693000000</v>
      </c>
      <c r="P6" s="7">
        <v>1811082000000</v>
      </c>
      <c r="Q6" s="5">
        <v>1219154000000</v>
      </c>
      <c r="R6" s="7">
        <v>1097616000000</v>
      </c>
      <c r="S6" s="7">
        <v>1139520000000</v>
      </c>
      <c r="T6" s="5"/>
      <c r="U6" s="8"/>
      <c r="V6" s="8"/>
      <c r="W6" s="8"/>
      <c r="X6" s="8"/>
      <c r="Y6" s="8"/>
      <c r="Z6" s="8"/>
      <c r="AA6" s="8"/>
    </row>
    <row r="7" spans="1:27" ht="14.25" customHeight="1" x14ac:dyDescent="0.2">
      <c r="A7" s="2" t="s">
        <v>33</v>
      </c>
      <c r="B7" s="20">
        <v>23811080000000</v>
      </c>
      <c r="C7" s="20">
        <v>17309391000000</v>
      </c>
      <c r="D7" s="20">
        <v>20041473000000</v>
      </c>
      <c r="E7" s="20">
        <v>19028953000000</v>
      </c>
      <c r="F7" s="20">
        <v>19306169000000</v>
      </c>
      <c r="G7" s="20">
        <v>18267373000000</v>
      </c>
      <c r="H7" s="20">
        <v>18093761000000</v>
      </c>
      <c r="I7" s="20">
        <v>19046155000000</v>
      </c>
      <c r="J7" s="20">
        <v>20468858000000</v>
      </c>
      <c r="K7" s="20">
        <v>20935810000000</v>
      </c>
      <c r="L7" s="20">
        <v>19942219000000</v>
      </c>
      <c r="M7" s="20">
        <v>20699945000000</v>
      </c>
      <c r="N7" s="20">
        <v>20592766000000</v>
      </c>
      <c r="O7" s="20">
        <v>19699899000000</v>
      </c>
      <c r="P7" s="7">
        <v>19036110000000</v>
      </c>
      <c r="Q7" s="5">
        <v>19496543000000</v>
      </c>
      <c r="R7" s="7">
        <v>19279165000000</v>
      </c>
      <c r="S7" s="7">
        <v>16426569000000</v>
      </c>
      <c r="T7" s="5"/>
      <c r="U7" s="8"/>
      <c r="V7" s="8"/>
      <c r="W7" s="8"/>
      <c r="X7" s="8"/>
      <c r="Y7" s="8"/>
      <c r="Z7" s="8"/>
      <c r="AA7" s="8"/>
    </row>
    <row r="8" spans="1:27" ht="14.25" customHeight="1" x14ac:dyDescent="0.2">
      <c r="A8" s="2" t="s">
        <v>34</v>
      </c>
      <c r="B8" s="20">
        <v>10250260000000</v>
      </c>
      <c r="C8" s="20">
        <v>3482047000000</v>
      </c>
      <c r="D8" s="20">
        <v>3874778000000</v>
      </c>
      <c r="E8" s="20">
        <v>4336636000000</v>
      </c>
      <c r="F8" s="20">
        <v>4823586000000</v>
      </c>
      <c r="G8" s="20">
        <v>3306295000000</v>
      </c>
      <c r="H8" s="20">
        <v>3212701000000</v>
      </c>
      <c r="I8" s="20">
        <v>4989557000000</v>
      </c>
      <c r="J8" s="20">
        <v>5736420000000</v>
      </c>
      <c r="K8" s="20">
        <v>5473392000000</v>
      </c>
      <c r="L8" s="20">
        <v>4908678000000</v>
      </c>
      <c r="M8" s="20">
        <v>5086472000000</v>
      </c>
      <c r="N8" s="20">
        <v>6704555000000</v>
      </c>
      <c r="O8" s="20">
        <v>5894230000000</v>
      </c>
      <c r="P8" s="7">
        <v>4424209000000</v>
      </c>
      <c r="Q8" s="5">
        <v>4097902000000</v>
      </c>
      <c r="R8" s="7">
        <v>2939943000000</v>
      </c>
      <c r="S8" s="7">
        <v>1655739000000</v>
      </c>
      <c r="T8" s="5"/>
      <c r="U8" s="8"/>
      <c r="V8" s="8"/>
      <c r="W8" s="8"/>
      <c r="X8" s="8"/>
      <c r="Y8" s="8"/>
      <c r="Z8" s="8"/>
      <c r="AA8" s="8"/>
    </row>
    <row r="9" spans="1:27" ht="14.25" customHeight="1" x14ac:dyDescent="0.2">
      <c r="A9" s="2" t="s">
        <v>35</v>
      </c>
      <c r="B9" s="20">
        <v>19822694000000</v>
      </c>
      <c r="C9" s="20">
        <v>20540824000000</v>
      </c>
      <c r="D9" s="20">
        <v>18663756000000</v>
      </c>
      <c r="E9" s="20">
        <v>17007979000000</v>
      </c>
      <c r="F9" s="20">
        <v>15895876000000</v>
      </c>
      <c r="G9" s="20">
        <v>16116296000000</v>
      </c>
      <c r="H9" s="20">
        <v>15476838000000</v>
      </c>
      <c r="I9" s="20">
        <v>15438143000000</v>
      </c>
      <c r="J9" s="20">
        <v>14627138000000</v>
      </c>
      <c r="K9" s="20">
        <v>13871752000000</v>
      </c>
      <c r="L9" s="20">
        <v>13226291000000</v>
      </c>
      <c r="M9" s="20">
        <v>13168497000000</v>
      </c>
      <c r="N9" s="20">
        <v>12341379000000</v>
      </c>
      <c r="O9" s="20">
        <v>12644364000000</v>
      </c>
      <c r="P9" s="7">
        <v>12748045000000</v>
      </c>
      <c r="Q9" s="5">
        <v>12807894000000</v>
      </c>
      <c r="R9" s="7">
        <v>12602880000000</v>
      </c>
      <c r="S9" s="7">
        <v>12794690000000</v>
      </c>
      <c r="T9" s="5"/>
      <c r="U9" s="8"/>
      <c r="V9" s="8"/>
      <c r="W9" s="8"/>
      <c r="X9" s="8"/>
      <c r="Y9" s="8"/>
      <c r="Z9" s="8"/>
      <c r="AA9" s="8"/>
    </row>
    <row r="10" spans="1:27" ht="14.25" customHeight="1" x14ac:dyDescent="0.2">
      <c r="A10" s="2" t="s">
        <v>36</v>
      </c>
      <c r="B10" s="20">
        <v>2475417000000</v>
      </c>
      <c r="C10" s="20">
        <v>1816410000000</v>
      </c>
      <c r="D10" s="20">
        <v>4003999000000</v>
      </c>
      <c r="E10" s="20">
        <v>2411411000000</v>
      </c>
      <c r="F10" s="20">
        <v>1236264000000</v>
      </c>
      <c r="G10" s="20">
        <v>680417000000</v>
      </c>
      <c r="H10" s="20">
        <v>3018892000000</v>
      </c>
      <c r="I10" s="20">
        <v>2095915000000</v>
      </c>
      <c r="J10" s="20">
        <v>1479292000000</v>
      </c>
      <c r="K10" s="20">
        <v>664823000000</v>
      </c>
      <c r="L10" s="20">
        <v>929716000000</v>
      </c>
      <c r="M10" s="20">
        <v>937259000000</v>
      </c>
      <c r="N10" s="20">
        <v>81976000000</v>
      </c>
      <c r="O10" s="20">
        <v>-249927000000</v>
      </c>
      <c r="P10" s="7">
        <v>1419855000000</v>
      </c>
      <c r="Q10" s="5">
        <v>1428249000000</v>
      </c>
      <c r="R10" s="7">
        <v>1111746000000</v>
      </c>
      <c r="S10" s="7">
        <v>603739000000</v>
      </c>
      <c r="T10" s="5"/>
      <c r="U10" s="8"/>
      <c r="V10" s="8"/>
      <c r="W10" s="8"/>
      <c r="X10" s="8"/>
      <c r="Y10" s="8"/>
      <c r="Z10" s="8"/>
      <c r="AA10" s="8"/>
    </row>
    <row r="11" spans="1:27" ht="14.25" customHeight="1" x14ac:dyDescent="0.2">
      <c r="A11" s="6" t="s">
        <v>37</v>
      </c>
      <c r="B11" s="20">
        <v>35355127000000</v>
      </c>
      <c r="C11" s="20">
        <v>17714001000000</v>
      </c>
      <c r="D11" s="20">
        <v>60715806000000</v>
      </c>
      <c r="E11" s="20">
        <v>43104381000000</v>
      </c>
      <c r="F11" s="20">
        <v>27481591000000</v>
      </c>
      <c r="G11" s="20">
        <v>14332271000000</v>
      </c>
      <c r="H11" s="20">
        <v>55800849000000</v>
      </c>
      <c r="I11" s="20">
        <v>41279935000000</v>
      </c>
      <c r="J11" s="20">
        <v>27648515000000</v>
      </c>
      <c r="K11" s="20">
        <v>13925495000000</v>
      </c>
      <c r="L11" s="20">
        <v>51175898000000</v>
      </c>
      <c r="M11" s="20">
        <v>37767422000000</v>
      </c>
      <c r="N11" s="20">
        <v>24155760000000</v>
      </c>
      <c r="O11" s="20">
        <v>11761795000000</v>
      </c>
      <c r="P11" s="5">
        <v>48972085000000</v>
      </c>
      <c r="Q11" s="5">
        <v>36793282000000</v>
      </c>
      <c r="R11" s="7">
        <v>24483172000000</v>
      </c>
      <c r="S11" s="7">
        <v>12154001000000</v>
      </c>
      <c r="T11" s="5"/>
      <c r="U11" s="8"/>
      <c r="V11" s="8"/>
      <c r="W11" s="8"/>
      <c r="X11" s="8"/>
      <c r="Y11" s="8"/>
      <c r="Z11" s="8"/>
      <c r="AA11" s="8"/>
    </row>
    <row r="12" spans="1:27" ht="14.25" customHeight="1" x14ac:dyDescent="0.2">
      <c r="A12" s="2" t="s">
        <v>38</v>
      </c>
      <c r="B12" s="20">
        <v>-2228148000000</v>
      </c>
      <c r="C12" s="20">
        <v>2222864000000</v>
      </c>
      <c r="D12" s="20">
        <v>5012140000000</v>
      </c>
      <c r="E12" s="20">
        <v>2205643000000</v>
      </c>
      <c r="F12" s="20">
        <v>983795000000</v>
      </c>
      <c r="G12" s="20">
        <v>894941000000</v>
      </c>
      <c r="H12" s="20">
        <v>4860422000000</v>
      </c>
      <c r="I12" s="20">
        <v>1686138000000</v>
      </c>
      <c r="J12" s="20">
        <v>346831000000</v>
      </c>
      <c r="K12" s="20">
        <v>182116000000</v>
      </c>
      <c r="L12" s="20">
        <v>2371932000000</v>
      </c>
      <c r="M12" s="20">
        <v>1301938000000</v>
      </c>
      <c r="N12" s="20">
        <v>-511881000000</v>
      </c>
      <c r="O12" s="20">
        <v>-1311329000000</v>
      </c>
      <c r="P12" s="7">
        <v>1426749000000</v>
      </c>
      <c r="Q12" s="5">
        <v>372047000000</v>
      </c>
      <c r="R12" s="7">
        <v>436518000000</v>
      </c>
      <c r="S12" s="7">
        <v>904913000000</v>
      </c>
      <c r="T12" s="5"/>
      <c r="U12" s="8"/>
      <c r="V12" s="8"/>
      <c r="W12" s="8"/>
      <c r="X12" s="8"/>
      <c r="Y12" s="8"/>
      <c r="Z12" s="8"/>
      <c r="AA12" s="8"/>
    </row>
    <row r="13" spans="1:27" ht="14.25" customHeight="1" x14ac:dyDescent="0.2">
      <c r="A13" s="2" t="s">
        <v>39</v>
      </c>
      <c r="B13" s="20">
        <v>11704870701</v>
      </c>
      <c r="C13" s="20">
        <v>11620308701</v>
      </c>
      <c r="D13" s="20">
        <v>11620308701</v>
      </c>
      <c r="E13" s="20">
        <v>11620308701</v>
      </c>
      <c r="F13" s="20">
        <v>11620308701</v>
      </c>
      <c r="G13" s="20">
        <v>11620308701</v>
      </c>
      <c r="H13" s="20">
        <v>11620308701</v>
      </c>
      <c r="I13" s="20">
        <v>11620308701</v>
      </c>
      <c r="J13" s="20">
        <v>11620308701</v>
      </c>
      <c r="K13" s="20">
        <v>11620308701</v>
      </c>
      <c r="L13" s="20">
        <v>11620308701</v>
      </c>
      <c r="M13" s="20">
        <v>11620308701</v>
      </c>
      <c r="N13" s="20">
        <v>11620308701</v>
      </c>
      <c r="O13" s="20">
        <v>11620308701</v>
      </c>
      <c r="P13" s="7">
        <v>11726575201</v>
      </c>
      <c r="Q13" s="7">
        <v>11726575201</v>
      </c>
      <c r="R13" s="7">
        <v>11726575201</v>
      </c>
      <c r="S13" s="7">
        <v>11726575201</v>
      </c>
      <c r="T13" s="5"/>
      <c r="U13" s="8"/>
      <c r="V13" s="8"/>
      <c r="W13" s="8"/>
      <c r="X13" s="8"/>
      <c r="Y13" s="8"/>
      <c r="Z13" s="8"/>
      <c r="AA13" s="8"/>
    </row>
    <row r="14" spans="1:27" ht="14.25" customHeight="1" x14ac:dyDescent="0.2">
      <c r="A14" s="2" t="s">
        <v>40</v>
      </c>
      <c r="B14" s="4">
        <v>2330</v>
      </c>
      <c r="C14" s="4">
        <v>1925</v>
      </c>
      <c r="D14" s="4">
        <v>2530</v>
      </c>
      <c r="E14" s="4">
        <v>2330</v>
      </c>
      <c r="F14" s="4">
        <v>1550</v>
      </c>
      <c r="G14" s="4">
        <v>1560</v>
      </c>
      <c r="H14" s="5">
        <v>1795</v>
      </c>
      <c r="I14" s="5">
        <v>1710</v>
      </c>
      <c r="J14" s="5">
        <v>1600</v>
      </c>
      <c r="K14" s="5">
        <v>1385</v>
      </c>
      <c r="L14" s="5">
        <v>1460</v>
      </c>
      <c r="M14" s="5">
        <v>1210</v>
      </c>
      <c r="N14" s="5">
        <v>1370</v>
      </c>
      <c r="O14" s="5">
        <v>1240</v>
      </c>
      <c r="P14" s="5">
        <v>1175</v>
      </c>
      <c r="Q14" s="5">
        <v>1350</v>
      </c>
      <c r="R14" s="5">
        <v>1505</v>
      </c>
      <c r="S14" s="5">
        <v>1395</v>
      </c>
      <c r="T14" s="5">
        <v>1400</v>
      </c>
      <c r="U14" s="8">
        <v>1670</v>
      </c>
      <c r="V14" s="8">
        <v>1670</v>
      </c>
      <c r="W14" s="4">
        <v>1955</v>
      </c>
      <c r="X14" s="8">
        <v>1950</v>
      </c>
      <c r="Y14" s="8">
        <v>1265</v>
      </c>
      <c r="Z14" s="8">
        <v>1120</v>
      </c>
      <c r="AA14" s="8">
        <v>1280</v>
      </c>
    </row>
    <row r="15" spans="1:27" ht="14.25" customHeight="1" x14ac:dyDescent="0.2">
      <c r="A15" s="9" t="s">
        <v>41</v>
      </c>
      <c r="B15" s="6">
        <f t="shared" ref="B15:AA15" si="0">B9/B13</f>
        <v>1693.5423300580721</v>
      </c>
      <c r="C15" s="6">
        <f t="shared" si="0"/>
        <v>1767.6659483437247</v>
      </c>
      <c r="D15" s="6">
        <f t="shared" si="0"/>
        <v>1606.1325460651374</v>
      </c>
      <c r="E15" s="6">
        <f t="shared" si="0"/>
        <v>1463.6426137746546</v>
      </c>
      <c r="F15" s="6">
        <f t="shared" si="0"/>
        <v>1367.9392182267982</v>
      </c>
      <c r="G15" s="6">
        <f t="shared" si="0"/>
        <v>1386.9077332354425</v>
      </c>
      <c r="H15" s="6">
        <f t="shared" si="0"/>
        <v>1331.8783862143114</v>
      </c>
      <c r="I15" s="6">
        <f t="shared" si="0"/>
        <v>1328.5484402554168</v>
      </c>
      <c r="J15" s="6">
        <f t="shared" si="0"/>
        <v>1258.7564045300487</v>
      </c>
      <c r="K15" s="6">
        <f t="shared" si="0"/>
        <v>1193.7507304609085</v>
      </c>
      <c r="L15" s="6">
        <f t="shared" si="0"/>
        <v>1138.2047878695164</v>
      </c>
      <c r="M15" s="6">
        <f t="shared" si="0"/>
        <v>1133.2312539052227</v>
      </c>
      <c r="N15" s="6">
        <f t="shared" si="0"/>
        <v>1062.052594087965</v>
      </c>
      <c r="O15" s="6">
        <f t="shared" si="0"/>
        <v>1088.1263420232438</v>
      </c>
      <c r="P15" s="6">
        <f t="shared" si="0"/>
        <v>1087.1072569349058</v>
      </c>
      <c r="Q15" s="6">
        <f t="shared" si="0"/>
        <v>1092.2109635989705</v>
      </c>
      <c r="R15" s="6">
        <f t="shared" si="0"/>
        <v>1074.728109783091</v>
      </c>
      <c r="S15" s="6">
        <f t="shared" si="0"/>
        <v>1091.0849741456409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10" t="e">
        <f t="shared" si="0"/>
        <v>#DIV/0!</v>
      </c>
      <c r="Y15" s="10" t="e">
        <f t="shared" si="0"/>
        <v>#DIV/0!</v>
      </c>
      <c r="Z15" s="10" t="e">
        <f t="shared" si="0"/>
        <v>#DIV/0!</v>
      </c>
      <c r="AA15" s="10" t="e">
        <f t="shared" si="0"/>
        <v>#DIV/0!</v>
      </c>
    </row>
    <row r="16" spans="1:27" ht="14.25" customHeight="1" x14ac:dyDescent="0.2">
      <c r="A16" s="9" t="s">
        <v>42</v>
      </c>
      <c r="B16" s="6">
        <f t="shared" ref="B16:AA16" si="1">B5-B7</f>
        <v>669894000000</v>
      </c>
      <c r="C16" s="6">
        <f t="shared" si="1"/>
        <v>2701407000000</v>
      </c>
      <c r="D16" s="6">
        <f t="shared" si="1"/>
        <v>1334702000000</v>
      </c>
      <c r="E16" s="6">
        <f t="shared" si="1"/>
        <v>618412000000</v>
      </c>
      <c r="F16" s="6">
        <f t="shared" si="1"/>
        <v>-691027000000</v>
      </c>
      <c r="G16" s="6">
        <f t="shared" si="1"/>
        <v>-335649000000</v>
      </c>
      <c r="H16" s="6">
        <f t="shared" si="1"/>
        <v>-924507000000</v>
      </c>
      <c r="I16" s="6">
        <f t="shared" si="1"/>
        <v>-613026000000</v>
      </c>
      <c r="J16" s="6">
        <f t="shared" si="1"/>
        <v>-1499155000000</v>
      </c>
      <c r="K16" s="6">
        <f t="shared" si="1"/>
        <v>-2323559000000</v>
      </c>
      <c r="L16" s="6">
        <f t="shared" si="1"/>
        <v>-2723896000000</v>
      </c>
      <c r="M16" s="6">
        <f t="shared" si="1"/>
        <v>-2457571000000</v>
      </c>
      <c r="N16" s="6">
        <f t="shared" si="1"/>
        <v>-2971969000000</v>
      </c>
      <c r="O16" s="6">
        <f t="shared" si="1"/>
        <v>-2313277000000</v>
      </c>
      <c r="P16" s="6">
        <f t="shared" si="1"/>
        <v>-2034642000000</v>
      </c>
      <c r="Q16" s="6">
        <f t="shared" si="1"/>
        <v>-1511773000000</v>
      </c>
      <c r="R16" s="6">
        <f t="shared" si="1"/>
        <v>-1159558000000</v>
      </c>
      <c r="S16" s="6">
        <f t="shared" si="1"/>
        <v>-707293000000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10">
        <f t="shared" si="1"/>
        <v>0</v>
      </c>
      <c r="Y16" s="10">
        <f t="shared" si="1"/>
        <v>0</v>
      </c>
      <c r="Z16" s="10">
        <f t="shared" si="1"/>
        <v>0</v>
      </c>
      <c r="AA16" s="10">
        <f t="shared" si="1"/>
        <v>0</v>
      </c>
    </row>
    <row r="17" spans="1:27" ht="14.25" customHeight="1" x14ac:dyDescent="0.2">
      <c r="A17" s="9" t="s">
        <v>43</v>
      </c>
      <c r="B17" s="11">
        <f t="shared" ref="B17:AA17" si="2">B10/B4</f>
        <v>5.4832423571161561E-2</v>
      </c>
      <c r="C17" s="11">
        <f t="shared" si="2"/>
        <v>4.6179353274988962E-2</v>
      </c>
      <c r="D17" s="11">
        <f t="shared" si="2"/>
        <v>9.9948977082872051E-2</v>
      </c>
      <c r="E17" s="11">
        <f t="shared" si="2"/>
        <v>6.4644258349919007E-2</v>
      </c>
      <c r="F17" s="11">
        <f t="shared" si="2"/>
        <v>3.3987176429593043E-2</v>
      </c>
      <c r="G17" s="11">
        <f t="shared" si="2"/>
        <v>1.9138275933066086E-2</v>
      </c>
      <c r="H17" s="11">
        <f t="shared" si="2"/>
        <v>8.7084386866627728E-2</v>
      </c>
      <c r="I17" s="11">
        <f t="shared" si="2"/>
        <v>5.8982086616455563E-2</v>
      </c>
      <c r="J17" s="11">
        <f t="shared" si="2"/>
        <v>4.0967643639336672E-2</v>
      </c>
      <c r="K17" s="11">
        <f t="shared" si="2"/>
        <v>1.8591409930405711E-2</v>
      </c>
      <c r="L17" s="11">
        <f t="shared" si="2"/>
        <v>2.7256860426666162E-2</v>
      </c>
      <c r="M17" s="11">
        <f t="shared" si="2"/>
        <v>2.6896993982362973E-2</v>
      </c>
      <c r="N17" s="11">
        <f t="shared" si="2"/>
        <v>2.4192474781626291E-3</v>
      </c>
      <c r="O17" s="11">
        <f t="shared" si="2"/>
        <v>-7.5111972820277309E-3</v>
      </c>
      <c r="P17" s="11">
        <f t="shared" si="2"/>
        <v>4.3432746257389715E-2</v>
      </c>
      <c r="Q17" s="11">
        <f t="shared" si="2"/>
        <v>4.298022387709366E-2</v>
      </c>
      <c r="R17" s="11">
        <f t="shared" si="2"/>
        <v>3.3878468574959984E-2</v>
      </c>
      <c r="S17" s="11">
        <f t="shared" si="2"/>
        <v>2.0034910991440367E-2</v>
      </c>
      <c r="T17" s="11" t="e">
        <f t="shared" si="2"/>
        <v>#DIV/0!</v>
      </c>
      <c r="U17" s="11" t="e">
        <f t="shared" si="2"/>
        <v>#DIV/0!</v>
      </c>
      <c r="V17" s="11" t="e">
        <f t="shared" si="2"/>
        <v>#DIV/0!</v>
      </c>
      <c r="W17" s="11" t="e">
        <f t="shared" si="2"/>
        <v>#DIV/0!</v>
      </c>
      <c r="X17" s="11" t="e">
        <f t="shared" si="2"/>
        <v>#DIV/0!</v>
      </c>
      <c r="Y17" s="11" t="e">
        <f t="shared" si="2"/>
        <v>#DIV/0!</v>
      </c>
      <c r="Z17" s="11" t="e">
        <f t="shared" si="2"/>
        <v>#DIV/0!</v>
      </c>
      <c r="AA17" s="11" t="e">
        <f t="shared" si="2"/>
        <v>#DIV/0!</v>
      </c>
    </row>
    <row r="18" spans="1:27" ht="14.25" customHeight="1" x14ac:dyDescent="0.2">
      <c r="A18" s="9" t="s">
        <v>44</v>
      </c>
      <c r="B18" s="11">
        <f t="shared" ref="B18:AA18" si="3">B10/B9</f>
        <v>0.12487793031562713</v>
      </c>
      <c r="C18" s="11">
        <f t="shared" si="3"/>
        <v>8.8429266518227315E-2</v>
      </c>
      <c r="D18" s="11">
        <f t="shared" si="3"/>
        <v>0.21453339831489437</v>
      </c>
      <c r="E18" s="11">
        <f t="shared" si="3"/>
        <v>0.14178116047767933</v>
      </c>
      <c r="F18" s="11">
        <f t="shared" si="3"/>
        <v>7.7772624799035919E-2</v>
      </c>
      <c r="G18" s="11">
        <f t="shared" si="3"/>
        <v>4.2219192300761911E-2</v>
      </c>
      <c r="H18" s="11">
        <f t="shared" si="3"/>
        <v>0.1950587064360304</v>
      </c>
      <c r="I18" s="11">
        <f t="shared" si="3"/>
        <v>0.13576211853977516</v>
      </c>
      <c r="J18" s="11">
        <f t="shared" si="3"/>
        <v>0.10113338644921516</v>
      </c>
      <c r="K18" s="11">
        <f t="shared" si="3"/>
        <v>4.7926390264185804E-2</v>
      </c>
      <c r="L18" s="11">
        <f t="shared" si="3"/>
        <v>7.0293024703599827E-2</v>
      </c>
      <c r="M18" s="11">
        <f t="shared" si="3"/>
        <v>7.1174333714773982E-2</v>
      </c>
      <c r="N18" s="11">
        <f t="shared" si="3"/>
        <v>6.6423695439545285E-3</v>
      </c>
      <c r="O18" s="11">
        <f t="shared" si="3"/>
        <v>-1.9765881463077145E-2</v>
      </c>
      <c r="P18" s="11">
        <f t="shared" si="3"/>
        <v>0.1113782544696069</v>
      </c>
      <c r="Q18" s="11">
        <f t="shared" si="3"/>
        <v>0.11151318085549428</v>
      </c>
      <c r="R18" s="11">
        <f t="shared" si="3"/>
        <v>8.8213646404631321E-2</v>
      </c>
      <c r="S18" s="11">
        <f t="shared" si="3"/>
        <v>4.7186684476138149E-2</v>
      </c>
      <c r="T18" s="11" t="e">
        <f t="shared" si="3"/>
        <v>#DIV/0!</v>
      </c>
      <c r="U18" s="11" t="e">
        <f t="shared" si="3"/>
        <v>#DIV/0!</v>
      </c>
      <c r="V18" s="11" t="e">
        <f t="shared" si="3"/>
        <v>#DIV/0!</v>
      </c>
      <c r="W18" s="11" t="e">
        <f t="shared" si="3"/>
        <v>#DIV/0!</v>
      </c>
      <c r="X18" s="11" t="e">
        <f t="shared" si="3"/>
        <v>#DIV/0!</v>
      </c>
      <c r="Y18" s="11" t="e">
        <f t="shared" si="3"/>
        <v>#DIV/0!</v>
      </c>
      <c r="Z18" s="11" t="e">
        <f t="shared" si="3"/>
        <v>#DIV/0!</v>
      </c>
      <c r="AA18" s="11" t="e">
        <f t="shared" si="3"/>
        <v>#DIV/0!</v>
      </c>
    </row>
    <row r="19" spans="1:27" ht="14.25" customHeight="1" x14ac:dyDescent="0.2">
      <c r="A19" s="9" t="s">
        <v>45</v>
      </c>
      <c r="B19" s="12">
        <f t="shared" ref="B19:AA19" si="4">B14/B15</f>
        <v>1.3758144444609799</v>
      </c>
      <c r="C19" s="12">
        <f t="shared" si="4"/>
        <v>1.0890066654300237</v>
      </c>
      <c r="D19" s="12">
        <f t="shared" si="4"/>
        <v>1.5752124606392197</v>
      </c>
      <c r="E19" s="12">
        <f t="shared" si="4"/>
        <v>1.5919186678987549</v>
      </c>
      <c r="F19" s="12">
        <f t="shared" si="4"/>
        <v>1.1330912801880186</v>
      </c>
      <c r="G19" s="12">
        <f t="shared" si="4"/>
        <v>1.1248044571507001</v>
      </c>
      <c r="H19" s="12">
        <f t="shared" si="4"/>
        <v>1.3477206467041265</v>
      </c>
      <c r="I19" s="12">
        <f t="shared" si="4"/>
        <v>1.2871190452575807</v>
      </c>
      <c r="J19" s="12">
        <f t="shared" si="4"/>
        <v>1.271095816666254</v>
      </c>
      <c r="K19" s="12">
        <f t="shared" si="4"/>
        <v>1.1602087141469224</v>
      </c>
      <c r="L19" s="12">
        <f t="shared" si="4"/>
        <v>1.2827217171813321</v>
      </c>
      <c r="M19" s="12">
        <f t="shared" si="4"/>
        <v>1.0677432305455967</v>
      </c>
      <c r="N19" s="12">
        <f t="shared" si="4"/>
        <v>1.2899549491487134</v>
      </c>
      <c r="O19" s="12">
        <f t="shared" si="4"/>
        <v>1.1395735514447385</v>
      </c>
      <c r="P19" s="12">
        <f t="shared" si="4"/>
        <v>1.0808501116190756</v>
      </c>
      <c r="Q19" s="12">
        <f t="shared" si="4"/>
        <v>1.2360249484692798</v>
      </c>
      <c r="R19" s="12">
        <f t="shared" si="4"/>
        <v>1.4003541791642069</v>
      </c>
      <c r="S19" s="12">
        <f t="shared" si="4"/>
        <v>1.2785438651030234</v>
      </c>
      <c r="T19" s="12" t="e">
        <f t="shared" si="4"/>
        <v>#DIV/0!</v>
      </c>
      <c r="U19" s="12" t="e">
        <f t="shared" si="4"/>
        <v>#DIV/0!</v>
      </c>
      <c r="V19" s="12" t="e">
        <f t="shared" si="4"/>
        <v>#DIV/0!</v>
      </c>
      <c r="W19" s="12" t="e">
        <f t="shared" si="4"/>
        <v>#DIV/0!</v>
      </c>
      <c r="X19" s="10" t="e">
        <f t="shared" si="4"/>
        <v>#DIV/0!</v>
      </c>
      <c r="Y19" s="10" t="e">
        <f t="shared" si="4"/>
        <v>#DIV/0!</v>
      </c>
      <c r="Z19" s="10" t="e">
        <f t="shared" si="4"/>
        <v>#DIV/0!</v>
      </c>
      <c r="AA19" s="10" t="e">
        <f t="shared" si="4"/>
        <v>#DIV/0!</v>
      </c>
    </row>
    <row r="20" spans="1:27" ht="14.25" customHeight="1" x14ac:dyDescent="0.2">
      <c r="A20" s="9" t="s">
        <v>46</v>
      </c>
      <c r="B20" s="12">
        <f t="shared" ref="B20:AA20" si="5">B14/B21</f>
        <v>11.017274557510916</v>
      </c>
      <c r="C20" s="12">
        <f t="shared" si="5"/>
        <v>12.315002807419582</v>
      </c>
      <c r="D20" s="12">
        <f t="shared" si="5"/>
        <v>7.3425045844242218</v>
      </c>
      <c r="E20" s="12">
        <f t="shared" si="5"/>
        <v>11.227998575659646</v>
      </c>
      <c r="F20" s="12">
        <f t="shared" si="5"/>
        <v>14.569281712118125</v>
      </c>
      <c r="G20" s="12">
        <f t="shared" si="5"/>
        <v>26.64201742984082</v>
      </c>
      <c r="H20" s="12">
        <f t="shared" si="5"/>
        <v>6.9093078249553148</v>
      </c>
      <c r="I20" s="12">
        <f t="shared" si="5"/>
        <v>9.4806935771297969</v>
      </c>
      <c r="J20" s="12">
        <f t="shared" si="5"/>
        <v>12.568508395637913</v>
      </c>
      <c r="K20" s="12">
        <f t="shared" si="5"/>
        <v>24.208138934551002</v>
      </c>
      <c r="L20" s="12">
        <f t="shared" si="5"/>
        <v>18.248207735975285</v>
      </c>
      <c r="M20" s="12">
        <f t="shared" si="5"/>
        <v>15.001801559878327</v>
      </c>
      <c r="N20" s="12">
        <f t="shared" si="5"/>
        <v>194.20102127903289</v>
      </c>
      <c r="O20" s="12">
        <f t="shared" si="5"/>
        <v>-57.653565998231478</v>
      </c>
      <c r="P20" s="12">
        <f t="shared" si="5"/>
        <v>9.7043190052329287</v>
      </c>
      <c r="Q20" s="12">
        <f t="shared" si="5"/>
        <v>11.08411524975687</v>
      </c>
      <c r="R20" s="12">
        <f t="shared" si="5"/>
        <v>15.874575377383863</v>
      </c>
      <c r="S20" s="12">
        <f t="shared" si="5"/>
        <v>27.095437606970894</v>
      </c>
      <c r="T20" s="12" t="e">
        <f t="shared" si="5"/>
        <v>#DIV/0!</v>
      </c>
      <c r="U20" s="12" t="e">
        <f t="shared" si="5"/>
        <v>#DIV/0!</v>
      </c>
      <c r="V20" s="12" t="e">
        <f t="shared" si="5"/>
        <v>#DIV/0!</v>
      </c>
      <c r="W20" s="12" t="e">
        <f t="shared" si="5"/>
        <v>#DIV/0!</v>
      </c>
      <c r="X20" s="10" t="e">
        <f t="shared" si="5"/>
        <v>#DIV/0!</v>
      </c>
      <c r="Y20" s="10" t="e">
        <f t="shared" si="5"/>
        <v>#DIV/0!</v>
      </c>
      <c r="Z20" s="10" t="e">
        <f t="shared" si="5"/>
        <v>#DIV/0!</v>
      </c>
      <c r="AA20" s="10" t="e">
        <f t="shared" si="5"/>
        <v>#DIV/0!</v>
      </c>
    </row>
    <row r="21" spans="1:27" ht="14.25" customHeight="1" x14ac:dyDescent="0.2">
      <c r="A21" s="9" t="s">
        <v>47</v>
      </c>
      <c r="B21" s="6">
        <f t="shared" ref="B21:AA21" si="6">B10/B13</f>
        <v>211.48606107955672</v>
      </c>
      <c r="C21" s="6">
        <f t="shared" si="6"/>
        <v>156.31340326128225</v>
      </c>
      <c r="D21" s="6">
        <f t="shared" si="6"/>
        <v>344.56907325150758</v>
      </c>
      <c r="E21" s="6">
        <f t="shared" si="6"/>
        <v>207.51694830555431</v>
      </c>
      <c r="F21" s="6">
        <f t="shared" si="6"/>
        <v>106.38822356703929</v>
      </c>
      <c r="G21" s="6">
        <f t="shared" si="6"/>
        <v>58.55412429288095</v>
      </c>
      <c r="H21" s="6">
        <f t="shared" si="6"/>
        <v>259.79447514507126</v>
      </c>
      <c r="I21" s="6">
        <f t="shared" si="6"/>
        <v>180.36655083178931</v>
      </c>
      <c r="J21" s="6">
        <f t="shared" si="6"/>
        <v>127.302297904762</v>
      </c>
      <c r="K21" s="6">
        <f t="shared" si="6"/>
        <v>57.212163386226379</v>
      </c>
      <c r="L21" s="6">
        <f t="shared" si="6"/>
        <v>80.007857271467515</v>
      </c>
      <c r="M21" s="6">
        <f t="shared" si="6"/>
        <v>80.656979441462084</v>
      </c>
      <c r="N21" s="6">
        <f t="shared" si="6"/>
        <v>7.0545458050478</v>
      </c>
      <c r="O21" s="6">
        <f t="shared" si="6"/>
        <v>-21.507776293283175</v>
      </c>
      <c r="P21" s="6">
        <f t="shared" si="6"/>
        <v>121.08010869865227</v>
      </c>
      <c r="Q21" s="6">
        <f t="shared" si="6"/>
        <v>121.79591871616566</v>
      </c>
      <c r="R21" s="6">
        <f t="shared" si="6"/>
        <v>94.805685457523381</v>
      </c>
      <c r="S21" s="6">
        <f t="shared" si="6"/>
        <v>51.484682411665709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10" t="e">
        <f t="shared" si="6"/>
        <v>#DIV/0!</v>
      </c>
      <c r="Y21" s="10" t="e">
        <f t="shared" si="6"/>
        <v>#DIV/0!</v>
      </c>
      <c r="Z21" s="10" t="e">
        <f t="shared" si="6"/>
        <v>#DIV/0!</v>
      </c>
      <c r="AA21" s="10" t="e">
        <f t="shared" si="6"/>
        <v>#DIV/0!</v>
      </c>
    </row>
    <row r="22" spans="1:27" ht="14.25" customHeight="1" x14ac:dyDescent="0.2">
      <c r="A22" s="9" t="s">
        <v>48</v>
      </c>
      <c r="B22" s="11">
        <f t="shared" ref="B22:AA22" si="7">B7/B9</f>
        <v>1.2012030251791204</v>
      </c>
      <c r="C22" s="11">
        <f t="shared" si="7"/>
        <v>0.84268240650910597</v>
      </c>
      <c r="D22" s="11">
        <f t="shared" si="7"/>
        <v>1.0738177781578371</v>
      </c>
      <c r="E22" s="11">
        <f t="shared" si="7"/>
        <v>1.1188250526414691</v>
      </c>
      <c r="F22" s="11">
        <f t="shared" si="7"/>
        <v>1.2145394818127671</v>
      </c>
      <c r="G22" s="11">
        <f t="shared" si="7"/>
        <v>1.1334721700321215</v>
      </c>
      <c r="H22" s="11">
        <f t="shared" si="7"/>
        <v>1.1690864115783857</v>
      </c>
      <c r="I22" s="11">
        <f t="shared" si="7"/>
        <v>1.2337076421691391</v>
      </c>
      <c r="J22" s="11">
        <f t="shared" si="7"/>
        <v>1.3993754622401184</v>
      </c>
      <c r="K22" s="11">
        <f t="shared" si="7"/>
        <v>1.5092405054530964</v>
      </c>
      <c r="L22" s="11">
        <f t="shared" si="7"/>
        <v>1.5077710750504432</v>
      </c>
      <c r="M22" s="11">
        <f t="shared" si="7"/>
        <v>1.5719292034618682</v>
      </c>
      <c r="N22" s="11">
        <f t="shared" si="7"/>
        <v>1.6685952193835065</v>
      </c>
      <c r="O22" s="11">
        <f t="shared" si="7"/>
        <v>1.5579984094099157</v>
      </c>
      <c r="P22" s="11">
        <f t="shared" si="7"/>
        <v>1.4932572013983321</v>
      </c>
      <c r="Q22" s="11">
        <f t="shared" si="7"/>
        <v>1.5222286349340493</v>
      </c>
      <c r="R22" s="11">
        <f t="shared" si="7"/>
        <v>1.5297428048192159</v>
      </c>
      <c r="S22" s="11">
        <f t="shared" si="7"/>
        <v>1.283858303718183</v>
      </c>
      <c r="T22" s="11" t="e">
        <f t="shared" si="7"/>
        <v>#DIV/0!</v>
      </c>
      <c r="U22" s="11" t="e">
        <f t="shared" si="7"/>
        <v>#DIV/0!</v>
      </c>
      <c r="V22" s="11" t="e">
        <f t="shared" si="7"/>
        <v>#DIV/0!</v>
      </c>
      <c r="W22" s="11" t="e">
        <f t="shared" si="7"/>
        <v>#DIV/0!</v>
      </c>
      <c r="X22" s="11" t="e">
        <f t="shared" si="7"/>
        <v>#DIV/0!</v>
      </c>
      <c r="Y22" s="11" t="e">
        <f t="shared" si="7"/>
        <v>#DIV/0!</v>
      </c>
      <c r="Z22" s="11" t="e">
        <f t="shared" si="7"/>
        <v>#DIV/0!</v>
      </c>
      <c r="AA22" s="11" t="e">
        <f t="shared" si="7"/>
        <v>#DIV/0!</v>
      </c>
    </row>
    <row r="23" spans="1:27" ht="14.25" customHeight="1" x14ac:dyDescent="0.2"/>
    <row r="24" spans="1:27" ht="14.25" customHeight="1" x14ac:dyDescent="0.2">
      <c r="K24" s="19"/>
      <c r="L24" s="19"/>
      <c r="M24" s="19"/>
      <c r="N24" s="19"/>
      <c r="O24" s="19"/>
      <c r="P24" s="19"/>
      <c r="Q24" s="19"/>
      <c r="R24" s="19"/>
      <c r="S24" s="19"/>
      <c r="T24" s="19"/>
    </row>
    <row r="25" spans="1:27" ht="14.25" customHeight="1" x14ac:dyDescent="0.2">
      <c r="B25" s="19"/>
      <c r="C25" s="19"/>
      <c r="D25" s="19"/>
      <c r="E25" s="19"/>
      <c r="F25" s="19"/>
      <c r="G25" s="19"/>
      <c r="H25" s="19"/>
      <c r="I25" s="19"/>
      <c r="J25" s="19"/>
      <c r="K25" s="19"/>
    </row>
    <row r="26" spans="1:27" ht="14.25" customHeight="1" x14ac:dyDescent="0.2">
      <c r="B26" s="19"/>
      <c r="C26" s="19"/>
      <c r="D26" s="19"/>
      <c r="E26" s="19"/>
      <c r="F26" s="19"/>
      <c r="G26" s="19"/>
      <c r="H26" s="19"/>
      <c r="I26" s="19"/>
      <c r="J26" s="19"/>
      <c r="K26" s="19"/>
    </row>
    <row r="27" spans="1:27" ht="14.25" customHeight="1" x14ac:dyDescent="0.2">
      <c r="B27" s="19"/>
      <c r="C27" s="19"/>
      <c r="D27" s="19"/>
      <c r="E27" s="19"/>
      <c r="F27" s="19"/>
      <c r="G27" s="19"/>
      <c r="H27" s="19"/>
      <c r="I27" s="19"/>
      <c r="J27" s="19"/>
      <c r="K27" s="19"/>
    </row>
    <row r="28" spans="1:27" ht="14.25" customHeight="1" x14ac:dyDescent="0.2">
      <c r="B28" s="19"/>
      <c r="C28" s="19"/>
      <c r="D28" s="19"/>
      <c r="E28" s="19"/>
      <c r="F28" s="19"/>
      <c r="G28" s="19"/>
      <c r="H28" s="19"/>
      <c r="I28" s="19"/>
      <c r="J28" s="19"/>
      <c r="K28" s="19"/>
    </row>
    <row r="29" spans="1:27" ht="14.25" customHeight="1" x14ac:dyDescent="0.2">
      <c r="B29" s="19"/>
      <c r="C29" s="19"/>
      <c r="D29" s="19"/>
      <c r="E29" s="19"/>
      <c r="F29" s="19"/>
      <c r="G29" s="19"/>
      <c r="H29" s="19"/>
      <c r="I29" s="19"/>
      <c r="J29" s="19"/>
      <c r="K29" s="19"/>
    </row>
    <row r="30" spans="1:27" ht="14.25" customHeight="1" x14ac:dyDescent="0.2">
      <c r="B30" s="19"/>
      <c r="C30" s="19"/>
      <c r="D30" s="19"/>
      <c r="E30" s="19"/>
      <c r="F30" s="19"/>
      <c r="G30" s="19"/>
      <c r="H30" s="19"/>
      <c r="I30" s="19"/>
      <c r="J30" s="19"/>
      <c r="K30" s="19"/>
    </row>
    <row r="31" spans="1:27" ht="14.25" customHeight="1" x14ac:dyDescent="0.2">
      <c r="B31" s="19"/>
      <c r="C31" s="19"/>
      <c r="D31" s="19"/>
      <c r="E31" s="19"/>
      <c r="F31" s="19"/>
      <c r="G31" s="19"/>
      <c r="H31" s="19"/>
      <c r="I31" s="19"/>
      <c r="J31" s="19"/>
      <c r="K31" s="19"/>
    </row>
    <row r="32" spans="1:27" ht="14.25" customHeight="1" x14ac:dyDescent="0.2">
      <c r="B32" s="19"/>
      <c r="C32" s="19"/>
      <c r="D32" s="19"/>
      <c r="E32" s="19"/>
      <c r="F32" s="19"/>
      <c r="G32" s="19"/>
      <c r="H32" s="19"/>
      <c r="I32" s="19"/>
      <c r="J32" s="19"/>
      <c r="K32" s="19"/>
    </row>
    <row r="33" spans="2:15" ht="14.25" customHeight="1" x14ac:dyDescent="0.2">
      <c r="B33" s="19"/>
      <c r="C33" s="19"/>
      <c r="D33" s="19"/>
      <c r="E33" s="19"/>
      <c r="F33" s="19"/>
      <c r="G33" s="19"/>
      <c r="H33" s="19"/>
      <c r="I33" s="19"/>
      <c r="J33" s="19"/>
      <c r="K33" s="19"/>
    </row>
    <row r="34" spans="2:15" ht="14.25" customHeight="1" x14ac:dyDescent="0.2">
      <c r="B34" s="19"/>
      <c r="C34" s="19"/>
      <c r="D34" s="19"/>
      <c r="E34" s="19"/>
      <c r="F34" s="19"/>
      <c r="G34" s="19"/>
      <c r="H34" s="19"/>
      <c r="I34" s="19"/>
      <c r="J34" s="19"/>
      <c r="K34" s="19"/>
    </row>
    <row r="35" spans="2:15" ht="14.25" customHeight="1" x14ac:dyDescent="0.2">
      <c r="B35" s="19"/>
      <c r="C35" s="19"/>
      <c r="D35" s="19"/>
      <c r="E35" s="19"/>
      <c r="F35" s="19"/>
      <c r="G35" s="19"/>
      <c r="H35" s="19"/>
      <c r="I35" s="19"/>
      <c r="J35" s="19"/>
      <c r="K35" s="19"/>
    </row>
    <row r="36" spans="2:15" ht="14.25" customHeight="1" x14ac:dyDescent="0.2">
      <c r="B36" s="19"/>
      <c r="C36" s="19"/>
      <c r="D36" s="19"/>
      <c r="E36" s="19"/>
      <c r="F36" s="19"/>
      <c r="G36" s="19"/>
      <c r="H36" s="19"/>
      <c r="I36" s="19"/>
      <c r="J36" s="19"/>
      <c r="K36" s="19"/>
    </row>
    <row r="37" spans="2:15" ht="14.25" customHeight="1" x14ac:dyDescent="0.2">
      <c r="B37" s="19"/>
      <c r="C37" s="19"/>
      <c r="D37" s="19"/>
      <c r="E37" s="19"/>
      <c r="F37" s="19"/>
      <c r="G37" s="19"/>
      <c r="H37" s="19"/>
      <c r="I37" s="19"/>
      <c r="J37" s="19"/>
      <c r="K37" s="19"/>
    </row>
    <row r="38" spans="2:15" ht="14.25" customHeight="1" x14ac:dyDescent="0.2">
      <c r="B38" s="19"/>
      <c r="C38" s="19"/>
      <c r="D38" s="19"/>
      <c r="E38" s="19"/>
      <c r="F38" s="19"/>
      <c r="G38" s="19"/>
      <c r="H38" s="19"/>
      <c r="I38" s="19"/>
      <c r="J38" s="19"/>
      <c r="K38" s="19"/>
    </row>
    <row r="39" spans="2:15" ht="14.25" customHeight="1" x14ac:dyDescent="0.2"/>
    <row r="40" spans="2:15" ht="14.25" customHeight="1" x14ac:dyDescent="0.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</row>
    <row r="41" spans="2:15" ht="14.25" customHeight="1" x14ac:dyDescent="0.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2:15" ht="14.25" customHeight="1" x14ac:dyDescent="0.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</row>
    <row r="43" spans="2:15" ht="14.25" customHeight="1" x14ac:dyDescent="0.2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</row>
    <row r="44" spans="2:15" ht="14.25" customHeight="1" x14ac:dyDescent="0.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</row>
    <row r="45" spans="2:15" ht="14.25" customHeight="1" x14ac:dyDescent="0.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</row>
    <row r="46" spans="2:15" ht="14.25" customHeight="1" x14ac:dyDescent="0.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ht="14.25" customHeight="1" x14ac:dyDescent="0.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</row>
    <row r="48" spans="2:15" ht="14.25" customHeight="1" x14ac:dyDescent="0.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</row>
    <row r="49" spans="2:15" ht="14.25" customHeight="1" x14ac:dyDescent="0.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</row>
    <row r="50" spans="2:15" ht="14.25" customHeight="1" x14ac:dyDescent="0.2"/>
    <row r="51" spans="2:15" ht="14.25" customHeight="1" x14ac:dyDescent="0.2"/>
    <row r="52" spans="2:15" ht="14.25" customHeight="1" x14ac:dyDescent="0.2"/>
    <row r="53" spans="2:15" ht="14.25" customHeight="1" x14ac:dyDescent="0.2"/>
    <row r="54" spans="2:15" ht="14.25" customHeight="1" x14ac:dyDescent="0.2"/>
    <row r="55" spans="2:15" ht="14.25" customHeight="1" x14ac:dyDescent="0.2"/>
    <row r="56" spans="2:15" ht="14.25" customHeight="1" x14ac:dyDescent="0.2"/>
    <row r="57" spans="2:15" ht="14.25" customHeight="1" x14ac:dyDescent="0.2"/>
    <row r="58" spans="2:15" ht="14.25" customHeight="1" x14ac:dyDescent="0.2"/>
    <row r="59" spans="2:15" ht="14.25" customHeight="1" x14ac:dyDescent="0.2"/>
    <row r="60" spans="2:15" ht="14.25" customHeight="1" x14ac:dyDescent="0.2"/>
    <row r="61" spans="2:15" ht="14.25" customHeight="1" x14ac:dyDescent="0.2"/>
    <row r="62" spans="2:15" ht="14.25" customHeight="1" x14ac:dyDescent="0.2"/>
    <row r="63" spans="2:15" ht="14.25" customHeight="1" x14ac:dyDescent="0.2"/>
    <row r="64" spans="2:15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"/>
  <sheetViews>
    <sheetView workbookViewId="0">
      <selection activeCell="H2" sqref="H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8" width="17.33203125" bestFit="1" customWidth="1"/>
  </cols>
  <sheetData>
    <row r="1" spans="1:8" x14ac:dyDescent="0.2">
      <c r="A1" t="s">
        <v>49</v>
      </c>
      <c r="B1" t="s">
        <v>50</v>
      </c>
      <c r="C1" t="s">
        <v>51</v>
      </c>
      <c r="D1" t="s">
        <v>52</v>
      </c>
    </row>
    <row r="2" spans="1:8" x14ac:dyDescent="0.2">
      <c r="A2" s="16">
        <v>6.7299999999999999E-2</v>
      </c>
      <c r="B2">
        <f>1000/A2</f>
        <v>14858.841010401189</v>
      </c>
      <c r="C2" s="17">
        <v>247029168</v>
      </c>
      <c r="D2" s="14">
        <f>B2*C2</f>
        <v>3670567132243.6851</v>
      </c>
      <c r="F2" s="18">
        <v>3868963000000</v>
      </c>
      <c r="G2" s="18">
        <v>555246000000</v>
      </c>
      <c r="H2" s="15">
        <f>F2+G2</f>
        <v>4424209000000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53</v>
      </c>
      <c r="B1" s="1" t="s">
        <v>54</v>
      </c>
      <c r="C1" s="1" t="s">
        <v>55</v>
      </c>
      <c r="D1" s="1" t="s">
        <v>55</v>
      </c>
    </row>
    <row r="2" spans="1:4" x14ac:dyDescent="0.2">
      <c r="A2" s="3" t="s">
        <v>56</v>
      </c>
      <c r="B2" s="1" t="s">
        <v>57</v>
      </c>
      <c r="C2" s="1">
        <v>3734</v>
      </c>
      <c r="D2" s="1" t="s">
        <v>58</v>
      </c>
    </row>
    <row r="3" spans="1:4" x14ac:dyDescent="0.2">
      <c r="A3" s="1" t="s">
        <v>59</v>
      </c>
      <c r="B3" s="1" t="s">
        <v>60</v>
      </c>
      <c r="C3" s="1">
        <v>6365</v>
      </c>
      <c r="D3" s="1" t="s">
        <v>58</v>
      </c>
    </row>
    <row r="4" spans="1:4" x14ac:dyDescent="0.2">
      <c r="A4" s="3" t="s">
        <v>61</v>
      </c>
      <c r="B4" s="3" t="s">
        <v>62</v>
      </c>
      <c r="C4" s="3">
        <v>6267</v>
      </c>
      <c r="D4" s="1" t="s">
        <v>58</v>
      </c>
    </row>
    <row r="5" spans="1:4" x14ac:dyDescent="0.2">
      <c r="A5" s="3" t="s">
        <v>63</v>
      </c>
      <c r="B5" s="3" t="s">
        <v>64</v>
      </c>
      <c r="C5" s="3">
        <v>5029</v>
      </c>
      <c r="D5" s="1" t="s">
        <v>58</v>
      </c>
    </row>
    <row r="6" spans="1:4" x14ac:dyDescent="0.2">
      <c r="A6" s="3" t="s">
        <v>65</v>
      </c>
      <c r="B6" s="3" t="s">
        <v>64</v>
      </c>
      <c r="C6" s="3">
        <v>10794</v>
      </c>
      <c r="D6" s="1" t="s">
        <v>58</v>
      </c>
    </row>
    <row r="7" spans="1:4" x14ac:dyDescent="0.2">
      <c r="A7" s="3" t="s">
        <v>66</v>
      </c>
      <c r="B7" s="3" t="s">
        <v>64</v>
      </c>
      <c r="C7" s="3">
        <v>3356</v>
      </c>
      <c r="D7" s="1" t="s">
        <v>58</v>
      </c>
    </row>
    <row r="8" spans="1:4" x14ac:dyDescent="0.2">
      <c r="A8" s="1" t="s">
        <v>67</v>
      </c>
      <c r="B8" s="3" t="s">
        <v>64</v>
      </c>
      <c r="C8" s="3">
        <v>16348</v>
      </c>
      <c r="D8" s="1" t="s">
        <v>58</v>
      </c>
    </row>
    <row r="9" spans="1:4" x14ac:dyDescent="0.2">
      <c r="A9" s="3" t="s">
        <v>68</v>
      </c>
      <c r="B9" s="3" t="s">
        <v>69</v>
      </c>
      <c r="C9" s="3">
        <v>1528</v>
      </c>
      <c r="D9" s="1" t="s">
        <v>58</v>
      </c>
    </row>
    <row r="10" spans="1:4" x14ac:dyDescent="0.2">
      <c r="A10" s="3" t="s">
        <v>70</v>
      </c>
      <c r="B10" s="3" t="s">
        <v>69</v>
      </c>
      <c r="C10" s="3">
        <v>11009</v>
      </c>
      <c r="D10" s="1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2026-09-15T11:17:37Z</dcterms:modified>
</cp:coreProperties>
</file>