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7"/>
  <workbookPr/>
  <mc:AlternateContent xmlns:mc="http://schemas.openxmlformats.org/markup-compatibility/2006">
    <mc:Choice Requires="x15">
      <x15ac:absPath xmlns:x15ac="http://schemas.microsoft.com/office/spreadsheetml/2010/11/ac" url="/Users/muhammadnajmirahmani/Belajar/ProjectDatasaur/data/ground_truth/"/>
    </mc:Choice>
  </mc:AlternateContent>
  <xr:revisionPtr revIDLastSave="0" documentId="13_ncr:1_{8E48B57F-8841-3745-8931-25897CB23A71}" xr6:coauthVersionLast="47" xr6:coauthVersionMax="47" xr10:uidLastSave="{00000000-0000-0000-0000-000000000000}"/>
  <bookViews>
    <workbookView xWindow="0" yWindow="660" windowWidth="29300" windowHeight="18980" xr2:uid="{00000000-000D-0000-FFFF-FFFF00000000}"/>
  </bookViews>
  <sheets>
    <sheet name="Sheet1" sheetId="1" r:id="rId1"/>
    <sheet name="Sheet2" sheetId="2" r:id="rId2"/>
    <sheet name="lokasi kebun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2" l="1"/>
  <c r="B2" i="2"/>
  <c r="D2" i="2" s="1"/>
  <c r="AA22" i="1"/>
  <c r="Z22" i="1"/>
  <c r="Y22" i="1"/>
  <c r="X22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E22" i="1"/>
  <c r="D22" i="1"/>
  <c r="C22" i="1"/>
  <c r="B22" i="1"/>
  <c r="AA21" i="1"/>
  <c r="Z21" i="1"/>
  <c r="Y21" i="1"/>
  <c r="X21" i="1"/>
  <c r="W21" i="1"/>
  <c r="V21" i="1"/>
  <c r="V20" i="1" s="1"/>
  <c r="U21" i="1"/>
  <c r="U20" i="1" s="1"/>
  <c r="T21" i="1"/>
  <c r="T20" i="1" s="1"/>
  <c r="S21" i="1"/>
  <c r="S20" i="1" s="1"/>
  <c r="R21" i="1"/>
  <c r="Q21" i="1"/>
  <c r="P21" i="1"/>
  <c r="O21" i="1"/>
  <c r="O20" i="1" s="1"/>
  <c r="N21" i="1"/>
  <c r="M21" i="1"/>
  <c r="L21" i="1"/>
  <c r="L20" i="1" s="1"/>
  <c r="K21" i="1"/>
  <c r="K20" i="1" s="1"/>
  <c r="J21" i="1"/>
  <c r="J20" i="1" s="1"/>
  <c r="I21" i="1"/>
  <c r="I20" i="1" s="1"/>
  <c r="H21" i="1"/>
  <c r="G21" i="1"/>
  <c r="F21" i="1"/>
  <c r="F20" i="1" s="1"/>
  <c r="E21" i="1"/>
  <c r="D21" i="1"/>
  <c r="C21" i="1"/>
  <c r="B21" i="1"/>
  <c r="B20" i="1" s="1"/>
  <c r="AA20" i="1"/>
  <c r="Z20" i="1"/>
  <c r="Y20" i="1"/>
  <c r="X20" i="1"/>
  <c r="W20" i="1"/>
  <c r="R20" i="1"/>
  <c r="Q20" i="1"/>
  <c r="P20" i="1"/>
  <c r="N20" i="1"/>
  <c r="M20" i="1"/>
  <c r="H20" i="1"/>
  <c r="G20" i="1"/>
  <c r="E20" i="1"/>
  <c r="D20" i="1"/>
  <c r="C20" i="1"/>
  <c r="X19" i="1"/>
  <c r="W19" i="1"/>
  <c r="V19" i="1"/>
  <c r="U19" i="1"/>
  <c r="T19" i="1"/>
  <c r="N19" i="1"/>
  <c r="L19" i="1"/>
  <c r="K19" i="1"/>
  <c r="B19" i="1"/>
  <c r="AA18" i="1"/>
  <c r="Z18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C18" i="1"/>
  <c r="B18" i="1"/>
  <c r="AA17" i="1"/>
  <c r="Z17" i="1"/>
  <c r="Y17" i="1"/>
  <c r="X17" i="1"/>
  <c r="W17" i="1"/>
  <c r="V17" i="1"/>
  <c r="U17" i="1"/>
  <c r="T17" i="1"/>
  <c r="S17" i="1"/>
  <c r="R17" i="1"/>
  <c r="Q17" i="1"/>
  <c r="P17" i="1"/>
  <c r="O17" i="1"/>
  <c r="N17" i="1"/>
  <c r="M17" i="1"/>
  <c r="L17" i="1"/>
  <c r="K17" i="1"/>
  <c r="J17" i="1"/>
  <c r="I17" i="1"/>
  <c r="H17" i="1"/>
  <c r="G17" i="1"/>
  <c r="F17" i="1"/>
  <c r="E17" i="1"/>
  <c r="D17" i="1"/>
  <c r="C17" i="1"/>
  <c r="B17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C16" i="1"/>
  <c r="B16" i="1"/>
  <c r="AA15" i="1"/>
  <c r="AA19" i="1" s="1"/>
  <c r="Z15" i="1"/>
  <c r="Z19" i="1" s="1"/>
  <c r="Y15" i="1"/>
  <c r="Y19" i="1" s="1"/>
  <c r="X15" i="1"/>
  <c r="W15" i="1"/>
  <c r="V15" i="1"/>
  <c r="U15" i="1"/>
  <c r="T15" i="1"/>
  <c r="S15" i="1"/>
  <c r="S19" i="1" s="1"/>
  <c r="R15" i="1"/>
  <c r="R19" i="1" s="1"/>
  <c r="Q15" i="1"/>
  <c r="Q19" i="1" s="1"/>
  <c r="P15" i="1"/>
  <c r="P19" i="1" s="1"/>
  <c r="O15" i="1"/>
  <c r="O19" i="1" s="1"/>
  <c r="N15" i="1"/>
  <c r="M15" i="1"/>
  <c r="M19" i="1" s="1"/>
  <c r="L15" i="1"/>
  <c r="K15" i="1"/>
  <c r="J15" i="1"/>
  <c r="J19" i="1" s="1"/>
  <c r="I15" i="1"/>
  <c r="I19" i="1" s="1"/>
  <c r="H15" i="1"/>
  <c r="H19" i="1" s="1"/>
  <c r="G15" i="1"/>
  <c r="G19" i="1" s="1"/>
  <c r="F15" i="1"/>
  <c r="F19" i="1" s="1"/>
  <c r="E15" i="1"/>
  <c r="E19" i="1" s="1"/>
  <c r="D15" i="1"/>
  <c r="D19" i="1" s="1"/>
  <c r="C15" i="1"/>
  <c r="C19" i="1" s="1"/>
  <c r="B15" i="1"/>
</calcChain>
</file>

<file path=xl/sharedStrings.xml><?xml version="1.0" encoding="utf-8"?>
<sst xmlns="http://schemas.openxmlformats.org/spreadsheetml/2006/main" count="84" uniqueCount="71">
  <si>
    <t>(HANYA YANG BISA DIATRIBUSIKAN KE ENTITAS INDUK SAJA)</t>
  </si>
  <si>
    <t>JPFA</t>
  </si>
  <si>
    <t>DINYATAKAN DALAM RUPIAH</t>
  </si>
  <si>
    <t>kecuali nilai nominal dan data saham</t>
  </si>
  <si>
    <t>Q2 2026</t>
  </si>
  <si>
    <t>Q1 2026</t>
  </si>
  <si>
    <t>Q4 2025</t>
  </si>
  <si>
    <t>Q3 2025</t>
  </si>
  <si>
    <t>Q2 2025</t>
  </si>
  <si>
    <t>Q1 2025</t>
  </si>
  <si>
    <t>TAHUNAN 2024</t>
  </si>
  <si>
    <t>Q3 2024</t>
  </si>
  <si>
    <t>Q2 2024</t>
  </si>
  <si>
    <t>Q1 2024</t>
  </si>
  <si>
    <t>TAHUNAN 2023</t>
  </si>
  <si>
    <t>Q3 2023</t>
  </si>
  <si>
    <t>Q2 2023</t>
  </si>
  <si>
    <t>Q1 2023</t>
  </si>
  <si>
    <t>TAHUNAN 2022</t>
  </si>
  <si>
    <t>Q3 2022</t>
  </si>
  <si>
    <t>Q2 2022</t>
  </si>
  <si>
    <t>Q1 2022</t>
  </si>
  <si>
    <t>TAHUNAN 2021</t>
  </si>
  <si>
    <t>Q3 2021</t>
  </si>
  <si>
    <t>Q2 2021</t>
  </si>
  <si>
    <t>Q1 2021</t>
  </si>
  <si>
    <t>TAHUNAN 2020</t>
  </si>
  <si>
    <t>Q3 2020</t>
  </si>
  <si>
    <t>Q2 2020</t>
  </si>
  <si>
    <t>Q1 2020</t>
  </si>
  <si>
    <t>Aset</t>
  </si>
  <si>
    <t>total aset lancar</t>
  </si>
  <si>
    <t>KAS</t>
  </si>
  <si>
    <t>liabilitas</t>
  </si>
  <si>
    <t>Utang Bank SAJA Jangka Pendek + Panjang jatuh tempo</t>
  </si>
  <si>
    <t>ekuitas</t>
  </si>
  <si>
    <t>laba bersih</t>
  </si>
  <si>
    <t>pendapatan dari kontrak dengan pelanggan</t>
  </si>
  <si>
    <t>kas dari aktivitas operasi</t>
  </si>
  <si>
    <t>total share</t>
  </si>
  <si>
    <t>Harga saham rupiah</t>
  </si>
  <si>
    <t>Book Value per share</t>
  </si>
  <si>
    <t>P1</t>
  </si>
  <si>
    <t>ROA</t>
  </si>
  <si>
    <t>ROE</t>
  </si>
  <si>
    <t>PBV</t>
  </si>
  <si>
    <t>PE</t>
  </si>
  <si>
    <t>EPS</t>
  </si>
  <si>
    <t>DER</t>
  </si>
  <si>
    <t>Kurs</t>
  </si>
  <si>
    <t>USD to IDR</t>
  </si>
  <si>
    <t>Value</t>
  </si>
  <si>
    <t>Converted</t>
  </si>
  <si>
    <t>Perusahaan</t>
  </si>
  <si>
    <t xml:space="preserve">Lokasi </t>
  </si>
  <si>
    <t>Luasan</t>
  </si>
  <si>
    <t>PT Cipta Davia Mandiri</t>
  </si>
  <si>
    <t xml:space="preserve">Kutai Timur, Kaltim </t>
  </si>
  <si>
    <t>Hektar</t>
  </si>
  <si>
    <t>PT Cahaya Anugrah Plantation</t>
  </si>
  <si>
    <t>Kutai Kartanegara, Kaltim</t>
  </si>
  <si>
    <t>Multi Jayantara Abadi</t>
  </si>
  <si>
    <t>Paser, Kaltim</t>
  </si>
  <si>
    <t>Gemilang Sejahtera Abadi</t>
  </si>
  <si>
    <t>Kutai Timur, Kaltim</t>
  </si>
  <si>
    <t>Telen Prima Sawit</t>
  </si>
  <si>
    <t>Sawit Prima Nusantara</t>
  </si>
  <si>
    <t xml:space="preserve"> Telen</t>
  </si>
  <si>
    <t>Inti Energi Kaltim</t>
  </si>
  <si>
    <t>Berau, Kaltim</t>
  </si>
  <si>
    <t>Tanjung Buyu Perkasa Plantation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</si>
</sst>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(* #,##0_);_(* \(#,##0\);_(* &quot;-&quot;_);_(@_)"/>
    <numFmt numFmtId="43" formatCode="_(* #,##0.00_);_(* \(#,##0.00\);_(* &quot;-&quot;??_);_(@_)"/>
    <numFmt numFmtId="164" formatCode="_(* #,##0_);_(* \(#,##0\);_(* &quot;-&quot;??_);_(@_)"/>
    <numFmt numFmtId="165" formatCode="#,##0_ "/>
  </numFmts>
  <fonts count="8" x14ac:knownFonts="1">
    <font>
      <sz val="11"/>
      <color theme="1"/>
      <name val="Aptos Narrow"/>
      <scheme val="minor"/>
    </font>
    <font>
      <sz val="11"/>
      <color theme="1"/>
      <name val="Arial"/>
      <family val="2"/>
    </font>
    <font>
      <sz val="11"/>
      <color theme="1"/>
      <name val="Tahoma"/>
      <family val="2"/>
    </font>
    <font>
      <sz val="11"/>
      <color theme="1"/>
      <name val="Aptos Narrow"/>
      <scheme val="minor"/>
    </font>
    <font>
      <sz val="11"/>
      <color theme="1"/>
      <name val="Tahoma"/>
      <family val="2"/>
    </font>
    <font>
      <sz val="9"/>
      <color rgb="FF000000"/>
      <name val="Helvetica"/>
      <family val="2"/>
    </font>
    <font>
      <sz val="8"/>
      <color rgb="FF000000"/>
      <name val="Arial"/>
      <family val="2"/>
    </font>
    <font>
      <sz val="10"/>
      <color rgb="FF000000"/>
      <name val="Helvetica Neue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1" fontId="3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/>
    </xf>
    <xf numFmtId="0" fontId="3" fillId="0" borderId="0" xfId="0" applyFont="1"/>
    <xf numFmtId="0" fontId="2" fillId="0" borderId="0" xfId="0" applyFont="1"/>
    <xf numFmtId="164" fontId="2" fillId="0" borderId="0" xfId="0" applyNumberFormat="1" applyFont="1"/>
    <xf numFmtId="164" fontId="2" fillId="0" borderId="0" xfId="0" applyNumberFormat="1" applyFont="1" applyAlignment="1">
      <alignment horizontal="center"/>
    </xf>
    <xf numFmtId="3" fontId="2" fillId="0" borderId="0" xfId="0" applyNumberFormat="1" applyFont="1" applyAlignment="1">
      <alignment horizontal="center"/>
    </xf>
    <xf numFmtId="165" fontId="2" fillId="0" borderId="0" xfId="0" applyNumberFormat="1" applyFont="1"/>
    <xf numFmtId="0" fontId="2" fillId="2" borderId="0" xfId="0" applyFont="1" applyFill="1" applyAlignment="1">
      <alignment horizontal="center"/>
    </xf>
    <xf numFmtId="165" fontId="2" fillId="0" borderId="0" xfId="0" applyNumberFormat="1" applyFont="1" applyAlignment="1">
      <alignment horizontal="center"/>
    </xf>
    <xf numFmtId="9" fontId="2" fillId="0" borderId="0" xfId="0" applyNumberFormat="1" applyFont="1" applyAlignment="1">
      <alignment horizontal="center"/>
    </xf>
    <xf numFmtId="43" fontId="2" fillId="0" borderId="0" xfId="0" applyNumberFormat="1" applyFont="1" applyAlignment="1">
      <alignment horizontal="center"/>
    </xf>
    <xf numFmtId="0" fontId="4" fillId="0" borderId="0" xfId="0" applyFont="1"/>
    <xf numFmtId="41" fontId="0" fillId="0" borderId="0" xfId="1" applyFont="1"/>
    <xf numFmtId="41" fontId="0" fillId="0" borderId="0" xfId="0" applyNumberFormat="1"/>
    <xf numFmtId="0" fontId="5" fillId="0" borderId="0" xfId="0" applyFont="1"/>
    <xf numFmtId="3" fontId="5" fillId="0" borderId="0" xfId="0" applyNumberFormat="1" applyFont="1"/>
    <xf numFmtId="3" fontId="6" fillId="0" borderId="0" xfId="0" applyNumberFormat="1" applyFont="1"/>
    <xf numFmtId="0" fontId="7" fillId="0" borderId="0" xfId="0" applyFont="1"/>
    <xf numFmtId="41" fontId="3" fillId="0" borderId="0" xfId="1"/>
  </cellXfs>
  <cellStyles count="2">
    <cellStyle name="Comma [0]" xfId="1" builtinId="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000"/>
  <sheetViews>
    <sheetView tabSelected="1" topLeftCell="A2" workbookViewId="0">
      <pane xSplit="1" topLeftCell="G1" activePane="topRight" state="frozen"/>
      <selection pane="topRight" activeCell="M38" sqref="M38"/>
    </sheetView>
  </sheetViews>
  <sheetFormatPr baseColWidth="10" defaultColWidth="12.6640625" defaultRowHeight="15" customHeight="1" x14ac:dyDescent="0.2"/>
  <cols>
    <col min="1" max="1" width="59.6640625" customWidth="1"/>
    <col min="2" max="2" width="20.5" customWidth="1"/>
    <col min="3" max="3" width="19.5" customWidth="1"/>
    <col min="4" max="4" width="22.5" customWidth="1"/>
    <col min="5" max="7" width="19.5" customWidth="1"/>
    <col min="8" max="8" width="17.6640625" customWidth="1"/>
    <col min="9" max="9" width="19.5" customWidth="1"/>
    <col min="10" max="10" width="17.5" customWidth="1"/>
    <col min="11" max="11" width="17.1640625" customWidth="1"/>
    <col min="12" max="15" width="18.33203125" bestFit="1" customWidth="1"/>
    <col min="16" max="17" width="18.6640625" bestFit="1" customWidth="1"/>
    <col min="18" max="18" width="32.83203125" bestFit="1" customWidth="1"/>
    <col min="19" max="19" width="18.6640625" bestFit="1" customWidth="1"/>
    <col min="20" max="20" width="15" bestFit="1" customWidth="1"/>
    <col min="21" max="23" width="8.6640625" customWidth="1"/>
    <col min="24" max="24" width="15" bestFit="1" customWidth="1"/>
    <col min="25" max="27" width="8.6640625" customWidth="1"/>
  </cols>
  <sheetData>
    <row r="1" spans="1:27" ht="14.25" customHeight="1" x14ac:dyDescent="0.2">
      <c r="A1" s="2" t="s">
        <v>0</v>
      </c>
      <c r="D1" s="13" t="s">
        <v>1</v>
      </c>
      <c r="E1" s="2"/>
      <c r="F1" s="2"/>
      <c r="G1" s="2"/>
      <c r="H1" s="2"/>
      <c r="I1" s="2"/>
      <c r="J1" s="2"/>
      <c r="K1" s="2"/>
      <c r="L1" s="4"/>
      <c r="M1" s="5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7" ht="14.25" customHeight="1" x14ac:dyDescent="0.2">
      <c r="A2" s="2" t="s">
        <v>2</v>
      </c>
      <c r="D2" s="4"/>
      <c r="E2" s="2"/>
      <c r="F2" s="2" t="s">
        <v>3</v>
      </c>
      <c r="G2" s="2"/>
      <c r="H2" s="2"/>
      <c r="I2" s="2"/>
      <c r="J2" s="2"/>
      <c r="K2" s="2"/>
      <c r="L2" s="4"/>
      <c r="M2" s="5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7" ht="14.25" customHeight="1" x14ac:dyDescent="0.2">
      <c r="A3" s="2"/>
      <c r="B3" s="1" t="s">
        <v>4</v>
      </c>
      <c r="C3" s="1" t="s">
        <v>5</v>
      </c>
      <c r="D3" s="1" t="s">
        <v>6</v>
      </c>
      <c r="E3" s="4" t="s">
        <v>7</v>
      </c>
      <c r="F3" s="4" t="s">
        <v>8</v>
      </c>
      <c r="G3" s="4" t="s">
        <v>9</v>
      </c>
      <c r="H3" s="4" t="s">
        <v>10</v>
      </c>
      <c r="I3" s="4" t="s">
        <v>11</v>
      </c>
      <c r="J3" s="2" t="s">
        <v>12</v>
      </c>
      <c r="K3" s="2" t="s">
        <v>13</v>
      </c>
      <c r="L3" s="2" t="s">
        <v>14</v>
      </c>
      <c r="M3" s="2" t="s">
        <v>15</v>
      </c>
      <c r="N3" s="2" t="s">
        <v>16</v>
      </c>
      <c r="O3" s="2" t="s">
        <v>17</v>
      </c>
      <c r="P3" s="2" t="s">
        <v>18</v>
      </c>
      <c r="Q3" s="2" t="s">
        <v>19</v>
      </c>
      <c r="R3" s="6" t="s">
        <v>20</v>
      </c>
      <c r="S3" s="6" t="s">
        <v>21</v>
      </c>
      <c r="T3" s="6" t="s">
        <v>22</v>
      </c>
      <c r="U3" s="6" t="s">
        <v>23</v>
      </c>
      <c r="V3" s="6" t="s">
        <v>24</v>
      </c>
      <c r="W3" s="6" t="s">
        <v>25</v>
      </c>
      <c r="X3" s="6" t="s">
        <v>26</v>
      </c>
      <c r="Y3" s="6" t="s">
        <v>27</v>
      </c>
      <c r="Z3" s="6" t="s">
        <v>28</v>
      </c>
      <c r="AA3" s="6" t="s">
        <v>29</v>
      </c>
    </row>
    <row r="4" spans="1:27" ht="14.25" customHeight="1" x14ac:dyDescent="0.2">
      <c r="A4" s="2" t="s">
        <v>30</v>
      </c>
      <c r="B4" s="20">
        <v>45145132000000</v>
      </c>
      <c r="C4" s="20">
        <v>39333812000000</v>
      </c>
      <c r="D4" s="20">
        <v>40060430000000</v>
      </c>
      <c r="E4" s="20">
        <v>37302787000000</v>
      </c>
      <c r="F4" s="20">
        <v>36374425000000</v>
      </c>
      <c r="G4" s="20">
        <v>35552680000000</v>
      </c>
      <c r="H4" s="20">
        <v>34666283000000</v>
      </c>
      <c r="I4" s="20">
        <v>35534772000000</v>
      </c>
      <c r="J4" s="20">
        <v>36108789000000</v>
      </c>
      <c r="K4" s="20">
        <v>35759687000000</v>
      </c>
      <c r="L4" s="20">
        <v>34109431000000</v>
      </c>
      <c r="M4" s="20">
        <v>34846236000000</v>
      </c>
      <c r="N4" s="20">
        <v>33884917000000</v>
      </c>
      <c r="O4" s="20">
        <v>33273923000000</v>
      </c>
      <c r="P4" s="7">
        <v>32690887000000</v>
      </c>
      <c r="Q4" s="14">
        <v>33230376000000</v>
      </c>
      <c r="R4" s="7">
        <v>32815710000000</v>
      </c>
      <c r="S4" s="7">
        <v>30134349000000</v>
      </c>
      <c r="T4" s="5"/>
      <c r="U4" s="8"/>
      <c r="V4" s="8"/>
      <c r="W4" s="8"/>
      <c r="X4" s="8"/>
      <c r="Y4" s="8"/>
      <c r="Z4" s="8"/>
      <c r="AA4" s="8"/>
    </row>
    <row r="5" spans="1:27" ht="14.25" customHeight="1" x14ac:dyDescent="0.2">
      <c r="A5" s="2" t="s">
        <v>31</v>
      </c>
      <c r="B5" s="20">
        <v>24480974000000</v>
      </c>
      <c r="C5" s="20">
        <v>20010798000000</v>
      </c>
      <c r="D5" s="20">
        <v>21376175000000</v>
      </c>
      <c r="E5" s="20">
        <v>19647365000000</v>
      </c>
      <c r="F5" s="20">
        <v>18615142000000</v>
      </c>
      <c r="G5" s="20">
        <v>17931724000000</v>
      </c>
      <c r="H5" s="20">
        <v>17169254000000</v>
      </c>
      <c r="I5" s="20">
        <v>18433129000000</v>
      </c>
      <c r="J5" s="20">
        <v>18969703000000</v>
      </c>
      <c r="K5" s="20">
        <v>18612251000000</v>
      </c>
      <c r="L5" s="20">
        <v>17218323000000</v>
      </c>
      <c r="M5" s="20">
        <v>18242374000000</v>
      </c>
      <c r="N5" s="20">
        <v>17620797000000</v>
      </c>
      <c r="O5" s="20">
        <v>17386622000000</v>
      </c>
      <c r="P5" s="6">
        <v>17001468000000</v>
      </c>
      <c r="Q5" s="5">
        <v>17984770000000</v>
      </c>
      <c r="R5" s="7">
        <v>18119607000000</v>
      </c>
      <c r="S5" s="7">
        <v>15719276000000</v>
      </c>
      <c r="T5" s="5"/>
      <c r="U5" s="8"/>
      <c r="V5" s="8"/>
      <c r="W5" s="8"/>
      <c r="X5" s="8"/>
      <c r="Y5" s="8"/>
      <c r="Z5" s="8"/>
      <c r="AA5" s="8"/>
    </row>
    <row r="6" spans="1:27" ht="14.25" customHeight="1" x14ac:dyDescent="0.2">
      <c r="A6" s="2" t="s">
        <v>32</v>
      </c>
      <c r="B6" s="20">
        <v>2596987000000</v>
      </c>
      <c r="C6" s="20">
        <v>1849630000000</v>
      </c>
      <c r="D6" s="20">
        <v>3550006000000</v>
      </c>
      <c r="E6" s="20">
        <v>1720300000000</v>
      </c>
      <c r="F6" s="20">
        <v>1734965000000</v>
      </c>
      <c r="G6" s="20">
        <v>1741131000000</v>
      </c>
      <c r="H6" s="20">
        <v>1353714000000</v>
      </c>
      <c r="I6" s="20">
        <v>1363031000000</v>
      </c>
      <c r="J6" s="20">
        <v>1451708000000</v>
      </c>
      <c r="K6" s="20">
        <v>1608811000000</v>
      </c>
      <c r="L6" s="20">
        <v>1502603000000</v>
      </c>
      <c r="M6" s="20">
        <v>1444543000000</v>
      </c>
      <c r="N6" s="20">
        <v>1553646000000</v>
      </c>
      <c r="O6" s="20">
        <v>1384693000000</v>
      </c>
      <c r="P6" s="7">
        <v>1811082000000</v>
      </c>
      <c r="Q6" s="5">
        <v>1219154000000</v>
      </c>
      <c r="R6" s="7">
        <v>1097616000000</v>
      </c>
      <c r="S6" s="7">
        <v>1139520000000</v>
      </c>
      <c r="T6" s="5"/>
      <c r="U6" s="8"/>
      <c r="V6" s="8"/>
      <c r="W6" s="8"/>
      <c r="X6" s="8"/>
      <c r="Y6" s="8"/>
      <c r="Z6" s="8"/>
      <c r="AA6" s="8"/>
    </row>
    <row r="7" spans="1:27" ht="14.25" customHeight="1" x14ac:dyDescent="0.2">
      <c r="A7" s="2" t="s">
        <v>33</v>
      </c>
      <c r="B7" s="20">
        <v>23811080000000</v>
      </c>
      <c r="C7" s="20">
        <v>17309391000000</v>
      </c>
      <c r="D7" s="20">
        <v>20041473000000</v>
      </c>
      <c r="E7" s="20">
        <v>19028953000000</v>
      </c>
      <c r="F7" s="20">
        <v>19306169000000</v>
      </c>
      <c r="G7" s="20">
        <v>18267373000000</v>
      </c>
      <c r="H7" s="20">
        <v>18093761000000</v>
      </c>
      <c r="I7" s="20">
        <v>19046155000000</v>
      </c>
      <c r="J7" s="20">
        <v>20468858000000</v>
      </c>
      <c r="K7" s="20">
        <v>20935810000000</v>
      </c>
      <c r="L7" s="20">
        <v>19942219000000</v>
      </c>
      <c r="M7" s="20">
        <v>20699945000000</v>
      </c>
      <c r="N7" s="20">
        <v>20592766000000</v>
      </c>
      <c r="O7" s="20">
        <v>19699899000000</v>
      </c>
      <c r="P7" s="7">
        <v>19036110000000</v>
      </c>
      <c r="Q7" s="5">
        <v>19496543000000</v>
      </c>
      <c r="R7" s="7">
        <v>19279165000000</v>
      </c>
      <c r="S7" s="7">
        <v>16426569000000</v>
      </c>
      <c r="T7" s="5"/>
      <c r="U7" s="8"/>
      <c r="V7" s="8"/>
      <c r="W7" s="8"/>
      <c r="X7" s="8"/>
      <c r="Y7" s="8"/>
      <c r="Z7" s="8"/>
      <c r="AA7" s="8"/>
    </row>
    <row r="8" spans="1:27" ht="14.25" customHeight="1" x14ac:dyDescent="0.2">
      <c r="A8" s="2" t="s">
        <v>34</v>
      </c>
      <c r="B8" s="20">
        <v>10250260000000</v>
      </c>
      <c r="C8" s="20">
        <v>3482047000000</v>
      </c>
      <c r="D8" s="20">
        <v>3874778000000</v>
      </c>
      <c r="E8" s="20">
        <v>4336636000000</v>
      </c>
      <c r="F8" s="20">
        <v>4823586000000</v>
      </c>
      <c r="G8" s="20">
        <v>3306295000000</v>
      </c>
      <c r="H8" s="20">
        <v>3212701000000</v>
      </c>
      <c r="I8" s="20">
        <v>4989557000000</v>
      </c>
      <c r="J8" s="20">
        <v>5736420000000</v>
      </c>
      <c r="K8" s="20">
        <v>5473392000000</v>
      </c>
      <c r="L8" s="20">
        <v>4908678000000</v>
      </c>
      <c r="M8" s="20">
        <v>5086472000000</v>
      </c>
      <c r="N8" s="20">
        <v>6704555000000</v>
      </c>
      <c r="O8" s="20">
        <v>5894230000000</v>
      </c>
      <c r="P8" s="7">
        <v>4424209000000</v>
      </c>
      <c r="Q8" s="5">
        <v>4097902000000</v>
      </c>
      <c r="R8" s="7">
        <v>2939943000000</v>
      </c>
      <c r="S8" s="7">
        <v>1655739000000</v>
      </c>
      <c r="T8" s="5"/>
      <c r="U8" s="8"/>
      <c r="V8" s="8"/>
      <c r="W8" s="8"/>
      <c r="X8" s="8"/>
      <c r="Y8" s="8"/>
      <c r="Z8" s="8"/>
      <c r="AA8" s="8"/>
    </row>
    <row r="9" spans="1:27" ht="14.25" customHeight="1" x14ac:dyDescent="0.2">
      <c r="A9" s="2" t="s">
        <v>35</v>
      </c>
      <c r="B9" s="20">
        <v>19822694000000</v>
      </c>
      <c r="C9" s="20">
        <v>20540824000000</v>
      </c>
      <c r="D9" s="20">
        <v>18663756000000</v>
      </c>
      <c r="E9" s="20">
        <v>17007979000000</v>
      </c>
      <c r="F9" s="20">
        <v>15895876000000</v>
      </c>
      <c r="G9" s="20">
        <v>16116296000000</v>
      </c>
      <c r="H9" s="20">
        <v>15476838000000</v>
      </c>
      <c r="I9" s="20">
        <v>15438143000000</v>
      </c>
      <c r="J9" s="20">
        <v>14627138000000</v>
      </c>
      <c r="K9" s="20">
        <v>13871752000000</v>
      </c>
      <c r="L9" s="20">
        <v>13226291000000</v>
      </c>
      <c r="M9" s="20">
        <v>13168497000000</v>
      </c>
      <c r="N9" s="20">
        <v>12341379000000</v>
      </c>
      <c r="O9" s="20">
        <v>12644364000000</v>
      </c>
      <c r="P9" s="7">
        <v>12748045000000</v>
      </c>
      <c r="Q9" s="5">
        <v>12807894000000</v>
      </c>
      <c r="R9" s="7">
        <v>12602880000000</v>
      </c>
      <c r="S9" s="7">
        <v>12794690000000</v>
      </c>
      <c r="T9" s="5"/>
      <c r="U9" s="8"/>
      <c r="V9" s="8"/>
      <c r="W9" s="8"/>
      <c r="X9" s="8"/>
      <c r="Y9" s="8"/>
      <c r="Z9" s="8"/>
      <c r="AA9" s="8"/>
    </row>
    <row r="10" spans="1:27" ht="14.25" customHeight="1" x14ac:dyDescent="0.2">
      <c r="A10" s="2" t="s">
        <v>36</v>
      </c>
      <c r="B10" s="20">
        <v>2475417000000</v>
      </c>
      <c r="C10" s="20">
        <v>1816410000000</v>
      </c>
      <c r="D10" s="20">
        <v>4003999000000</v>
      </c>
      <c r="E10" s="20">
        <v>2411411000000</v>
      </c>
      <c r="F10" s="20">
        <v>1236264000000</v>
      </c>
      <c r="G10" s="20">
        <v>680417000000</v>
      </c>
      <c r="H10" s="20">
        <v>3018892000000</v>
      </c>
      <c r="I10" s="20">
        <v>2095915000000</v>
      </c>
      <c r="J10" s="20">
        <v>1479292000000</v>
      </c>
      <c r="K10" s="20">
        <v>664823000000</v>
      </c>
      <c r="L10" s="20">
        <v>929716000000</v>
      </c>
      <c r="M10" s="20">
        <v>937259000000</v>
      </c>
      <c r="N10" s="20">
        <v>81976000000</v>
      </c>
      <c r="O10" s="20">
        <v>-249927000000</v>
      </c>
      <c r="P10" s="7">
        <v>1419855000000</v>
      </c>
      <c r="Q10" s="5">
        <v>1428249000000</v>
      </c>
      <c r="R10" s="7">
        <v>1111746000000</v>
      </c>
      <c r="S10" s="7">
        <v>603739000000</v>
      </c>
      <c r="T10" s="5"/>
      <c r="U10" s="8"/>
      <c r="V10" s="8"/>
      <c r="W10" s="8"/>
      <c r="X10" s="8"/>
      <c r="Y10" s="8"/>
      <c r="Z10" s="8"/>
      <c r="AA10" s="8"/>
    </row>
    <row r="11" spans="1:27" ht="14.25" customHeight="1" x14ac:dyDescent="0.2">
      <c r="A11" s="6" t="s">
        <v>37</v>
      </c>
      <c r="B11" s="20">
        <v>35355127000000</v>
      </c>
      <c r="C11" s="20">
        <v>17714001000000</v>
      </c>
      <c r="D11" s="20">
        <v>60715806000000</v>
      </c>
      <c r="E11" s="20">
        <v>43104381000000</v>
      </c>
      <c r="F11" s="20">
        <v>27481591000000</v>
      </c>
      <c r="G11" s="20">
        <v>14332271000000</v>
      </c>
      <c r="H11" s="20">
        <v>55800849000000</v>
      </c>
      <c r="I11" s="20">
        <v>41279935000000</v>
      </c>
      <c r="J11" s="20">
        <v>27648515000000</v>
      </c>
      <c r="K11" s="20">
        <v>13925495000000</v>
      </c>
      <c r="L11" s="20">
        <v>51175898000000</v>
      </c>
      <c r="M11" s="20">
        <v>37767422000000</v>
      </c>
      <c r="N11" s="20">
        <v>24155760000000</v>
      </c>
      <c r="O11" s="20">
        <v>11761795000000</v>
      </c>
      <c r="P11" s="5">
        <v>48972085000000</v>
      </c>
      <c r="Q11" s="5">
        <v>36793282000000</v>
      </c>
      <c r="R11" s="7">
        <v>24483172000000</v>
      </c>
      <c r="S11" s="7">
        <v>12154001000000</v>
      </c>
      <c r="T11" s="5"/>
      <c r="U11" s="8"/>
      <c r="V11" s="8"/>
      <c r="W11" s="8"/>
      <c r="X11" s="8"/>
      <c r="Y11" s="8"/>
      <c r="Z11" s="8"/>
      <c r="AA11" s="8"/>
    </row>
    <row r="12" spans="1:27" ht="14.25" customHeight="1" x14ac:dyDescent="0.2">
      <c r="A12" s="2" t="s">
        <v>38</v>
      </c>
      <c r="B12" s="20">
        <v>-2228148000000</v>
      </c>
      <c r="C12" s="20">
        <v>2222864000000</v>
      </c>
      <c r="D12" s="20">
        <v>5012140000000</v>
      </c>
      <c r="E12" s="20">
        <v>2205643000000</v>
      </c>
      <c r="F12" s="20">
        <v>983795000000</v>
      </c>
      <c r="G12" s="20">
        <v>894941000000</v>
      </c>
      <c r="H12" s="20">
        <v>4860422000000</v>
      </c>
      <c r="I12" s="20">
        <v>1686138000000</v>
      </c>
      <c r="J12" s="20">
        <v>346831000000</v>
      </c>
      <c r="K12" s="20">
        <v>182116000000</v>
      </c>
      <c r="L12" s="20">
        <v>2371932000000</v>
      </c>
      <c r="M12" s="20">
        <v>1301938000000</v>
      </c>
      <c r="N12" s="20">
        <v>-511881000000</v>
      </c>
      <c r="O12" s="20">
        <v>-1311329000000</v>
      </c>
      <c r="P12" s="7">
        <v>1426749000000</v>
      </c>
      <c r="Q12" s="5">
        <v>372047000000</v>
      </c>
      <c r="R12" s="7">
        <v>436518000000</v>
      </c>
      <c r="S12" s="7">
        <v>904913000000</v>
      </c>
      <c r="T12" s="5"/>
      <c r="U12" s="8"/>
      <c r="V12" s="8"/>
      <c r="W12" s="8"/>
      <c r="X12" s="8"/>
      <c r="Y12" s="8"/>
      <c r="Z12" s="8"/>
      <c r="AA12" s="8"/>
    </row>
    <row r="13" spans="1:27" ht="14.25" customHeight="1" x14ac:dyDescent="0.2">
      <c r="A13" s="2" t="s">
        <v>39</v>
      </c>
      <c r="B13" s="20">
        <v>11704870701</v>
      </c>
      <c r="C13" s="20">
        <v>11627669901</v>
      </c>
      <c r="D13" s="20">
        <v>11627669901</v>
      </c>
      <c r="E13" s="20">
        <v>11627669901</v>
      </c>
      <c r="F13" s="20">
        <v>11627669901</v>
      </c>
      <c r="G13" s="20">
        <v>11627669901</v>
      </c>
      <c r="H13" s="20">
        <v>11627669901</v>
      </c>
      <c r="I13" s="20">
        <v>11627669901</v>
      </c>
      <c r="J13" s="20">
        <v>11627669901</v>
      </c>
      <c r="K13" s="20">
        <v>11627669901</v>
      </c>
      <c r="L13" s="20">
        <v>11627669901</v>
      </c>
      <c r="M13" s="20">
        <v>11627669901</v>
      </c>
      <c r="N13" s="20">
        <v>11620308701</v>
      </c>
      <c r="O13" s="20">
        <v>11620308701</v>
      </c>
      <c r="P13" s="7">
        <v>11726575201</v>
      </c>
      <c r="Q13" s="7">
        <v>11726575201</v>
      </c>
      <c r="R13" s="7">
        <v>11726575201</v>
      </c>
      <c r="S13" s="7">
        <v>11726575201</v>
      </c>
      <c r="T13" s="5"/>
      <c r="U13" s="8"/>
      <c r="V13" s="8"/>
      <c r="W13" s="8"/>
      <c r="X13" s="8"/>
      <c r="Y13" s="8"/>
      <c r="Z13" s="8"/>
      <c r="AA13" s="8"/>
    </row>
    <row r="14" spans="1:27" ht="14.25" customHeight="1" x14ac:dyDescent="0.2">
      <c r="A14" s="2" t="s">
        <v>40</v>
      </c>
      <c r="B14" s="4">
        <v>2330</v>
      </c>
      <c r="C14" s="4">
        <v>1925</v>
      </c>
      <c r="D14" s="4">
        <v>2530</v>
      </c>
      <c r="E14" s="4">
        <v>2330</v>
      </c>
      <c r="F14" s="4">
        <v>1550</v>
      </c>
      <c r="G14" s="4">
        <v>1560</v>
      </c>
      <c r="H14" s="5">
        <v>1795</v>
      </c>
      <c r="I14" s="5">
        <v>1710</v>
      </c>
      <c r="J14" s="5">
        <v>1600</v>
      </c>
      <c r="K14" s="5">
        <v>1385</v>
      </c>
      <c r="L14" s="5">
        <v>1460</v>
      </c>
      <c r="M14" s="5">
        <v>1210</v>
      </c>
      <c r="N14" s="5">
        <v>1370</v>
      </c>
      <c r="O14" s="5">
        <v>1240</v>
      </c>
      <c r="P14" s="5">
        <v>1175</v>
      </c>
      <c r="Q14" s="5">
        <v>1350</v>
      </c>
      <c r="R14" s="5">
        <v>1505</v>
      </c>
      <c r="S14" s="5">
        <v>1395</v>
      </c>
      <c r="T14" s="5">
        <v>1400</v>
      </c>
      <c r="U14" s="8">
        <v>1670</v>
      </c>
      <c r="V14" s="8">
        <v>1670</v>
      </c>
      <c r="W14" s="4">
        <v>1955</v>
      </c>
      <c r="X14" s="8">
        <v>1950</v>
      </c>
      <c r="Y14" s="8">
        <v>1265</v>
      </c>
      <c r="Z14" s="8">
        <v>1120</v>
      </c>
      <c r="AA14" s="8">
        <v>1280</v>
      </c>
    </row>
    <row r="15" spans="1:27" ht="14.25" customHeight="1" x14ac:dyDescent="0.2">
      <c r="A15" s="9" t="s">
        <v>41</v>
      </c>
      <c r="B15" s="6">
        <f t="shared" ref="B15:AA15" si="0">B9/B13</f>
        <v>1693.5423300580721</v>
      </c>
      <c r="C15" s="6">
        <f t="shared" si="0"/>
        <v>1766.5468812658203</v>
      </c>
      <c r="D15" s="6">
        <f t="shared" si="0"/>
        <v>1605.1157419247759</v>
      </c>
      <c r="E15" s="6">
        <f t="shared" si="0"/>
        <v>1462.7160166059825</v>
      </c>
      <c r="F15" s="6">
        <f t="shared" si="0"/>
        <v>1367.0732085912523</v>
      </c>
      <c r="G15" s="6">
        <f t="shared" si="0"/>
        <v>1386.0297150862505</v>
      </c>
      <c r="H15" s="6">
        <f t="shared" si="0"/>
        <v>1331.0352058299286</v>
      </c>
      <c r="I15" s="6">
        <f t="shared" si="0"/>
        <v>1327.70736798026</v>
      </c>
      <c r="J15" s="6">
        <f t="shared" si="0"/>
        <v>1257.9595159252019</v>
      </c>
      <c r="K15" s="6">
        <f t="shared" si="0"/>
        <v>1192.9949953951655</v>
      </c>
      <c r="L15" s="6">
        <f t="shared" si="0"/>
        <v>1137.4842176128957</v>
      </c>
      <c r="M15" s="6">
        <f t="shared" si="0"/>
        <v>1132.5138322741245</v>
      </c>
      <c r="N15" s="6">
        <f t="shared" si="0"/>
        <v>1062.052594087965</v>
      </c>
      <c r="O15" s="6">
        <f t="shared" si="0"/>
        <v>1088.1263420232438</v>
      </c>
      <c r="P15" s="6">
        <f t="shared" si="0"/>
        <v>1087.1072569349058</v>
      </c>
      <c r="Q15" s="6">
        <f t="shared" si="0"/>
        <v>1092.2109635989705</v>
      </c>
      <c r="R15" s="6">
        <f t="shared" si="0"/>
        <v>1074.728109783091</v>
      </c>
      <c r="S15" s="6">
        <f t="shared" si="0"/>
        <v>1091.0849741456409</v>
      </c>
      <c r="T15" s="6" t="e">
        <f t="shared" si="0"/>
        <v>#DIV/0!</v>
      </c>
      <c r="U15" s="6" t="e">
        <f t="shared" si="0"/>
        <v>#DIV/0!</v>
      </c>
      <c r="V15" s="6" t="e">
        <f t="shared" si="0"/>
        <v>#DIV/0!</v>
      </c>
      <c r="W15" s="6" t="e">
        <f t="shared" si="0"/>
        <v>#DIV/0!</v>
      </c>
      <c r="X15" s="10" t="e">
        <f t="shared" si="0"/>
        <v>#DIV/0!</v>
      </c>
      <c r="Y15" s="10" t="e">
        <f t="shared" si="0"/>
        <v>#DIV/0!</v>
      </c>
      <c r="Z15" s="10" t="e">
        <f t="shared" si="0"/>
        <v>#DIV/0!</v>
      </c>
      <c r="AA15" s="10" t="e">
        <f t="shared" si="0"/>
        <v>#DIV/0!</v>
      </c>
    </row>
    <row r="16" spans="1:27" ht="14.25" customHeight="1" x14ac:dyDescent="0.2">
      <c r="A16" s="9" t="s">
        <v>42</v>
      </c>
      <c r="B16" s="6">
        <f t="shared" ref="B16:AA16" si="1">B5-B7</f>
        <v>669894000000</v>
      </c>
      <c r="C16" s="6">
        <f t="shared" si="1"/>
        <v>2701407000000</v>
      </c>
      <c r="D16" s="6">
        <f t="shared" si="1"/>
        <v>1334702000000</v>
      </c>
      <c r="E16" s="6">
        <f t="shared" si="1"/>
        <v>618412000000</v>
      </c>
      <c r="F16" s="6">
        <f t="shared" si="1"/>
        <v>-691027000000</v>
      </c>
      <c r="G16" s="6">
        <f t="shared" si="1"/>
        <v>-335649000000</v>
      </c>
      <c r="H16" s="6">
        <f t="shared" si="1"/>
        <v>-924507000000</v>
      </c>
      <c r="I16" s="6">
        <f t="shared" si="1"/>
        <v>-613026000000</v>
      </c>
      <c r="J16" s="6">
        <f t="shared" si="1"/>
        <v>-1499155000000</v>
      </c>
      <c r="K16" s="6">
        <f t="shared" si="1"/>
        <v>-2323559000000</v>
      </c>
      <c r="L16" s="6">
        <f t="shared" si="1"/>
        <v>-2723896000000</v>
      </c>
      <c r="M16" s="6">
        <f t="shared" si="1"/>
        <v>-2457571000000</v>
      </c>
      <c r="N16" s="6">
        <f t="shared" si="1"/>
        <v>-2971969000000</v>
      </c>
      <c r="O16" s="6">
        <f t="shared" si="1"/>
        <v>-2313277000000</v>
      </c>
      <c r="P16" s="6">
        <f t="shared" si="1"/>
        <v>-2034642000000</v>
      </c>
      <c r="Q16" s="6">
        <f t="shared" si="1"/>
        <v>-1511773000000</v>
      </c>
      <c r="R16" s="6">
        <f t="shared" si="1"/>
        <v>-1159558000000</v>
      </c>
      <c r="S16" s="6">
        <f t="shared" si="1"/>
        <v>-707293000000</v>
      </c>
      <c r="T16" s="6">
        <f t="shared" si="1"/>
        <v>0</v>
      </c>
      <c r="U16" s="6">
        <f t="shared" si="1"/>
        <v>0</v>
      </c>
      <c r="V16" s="6">
        <f t="shared" si="1"/>
        <v>0</v>
      </c>
      <c r="W16" s="6">
        <f t="shared" si="1"/>
        <v>0</v>
      </c>
      <c r="X16" s="10">
        <f t="shared" si="1"/>
        <v>0</v>
      </c>
      <c r="Y16" s="10">
        <f t="shared" si="1"/>
        <v>0</v>
      </c>
      <c r="Z16" s="10">
        <f t="shared" si="1"/>
        <v>0</v>
      </c>
      <c r="AA16" s="10">
        <f t="shared" si="1"/>
        <v>0</v>
      </c>
    </row>
    <row r="17" spans="1:27" ht="14.25" customHeight="1" x14ac:dyDescent="0.2">
      <c r="A17" s="9" t="s">
        <v>43</v>
      </c>
      <c r="B17" s="11">
        <f t="shared" ref="B17:AA17" si="2">B10/B4</f>
        <v>5.4832423571161561E-2</v>
      </c>
      <c r="C17" s="11">
        <f t="shared" si="2"/>
        <v>4.6179353274988962E-2</v>
      </c>
      <c r="D17" s="11">
        <f t="shared" si="2"/>
        <v>9.9948977082872051E-2</v>
      </c>
      <c r="E17" s="11">
        <f t="shared" si="2"/>
        <v>6.4644258349919007E-2</v>
      </c>
      <c r="F17" s="11">
        <f t="shared" si="2"/>
        <v>3.3987176429593043E-2</v>
      </c>
      <c r="G17" s="11">
        <f t="shared" si="2"/>
        <v>1.9138275933066086E-2</v>
      </c>
      <c r="H17" s="11">
        <f t="shared" si="2"/>
        <v>8.7084386866627728E-2</v>
      </c>
      <c r="I17" s="11">
        <f t="shared" si="2"/>
        <v>5.8982086616455563E-2</v>
      </c>
      <c r="J17" s="11">
        <f t="shared" si="2"/>
        <v>4.0967643639336672E-2</v>
      </c>
      <c r="K17" s="11">
        <f t="shared" si="2"/>
        <v>1.8591409930405711E-2</v>
      </c>
      <c r="L17" s="11">
        <f t="shared" si="2"/>
        <v>2.7256860426666162E-2</v>
      </c>
      <c r="M17" s="11">
        <f t="shared" si="2"/>
        <v>2.6896993982362973E-2</v>
      </c>
      <c r="N17" s="11">
        <f t="shared" si="2"/>
        <v>2.4192474781626291E-3</v>
      </c>
      <c r="O17" s="11">
        <f t="shared" si="2"/>
        <v>-7.5111972820277309E-3</v>
      </c>
      <c r="P17" s="11">
        <f t="shared" si="2"/>
        <v>4.3432746257389715E-2</v>
      </c>
      <c r="Q17" s="11">
        <f t="shared" si="2"/>
        <v>4.298022387709366E-2</v>
      </c>
      <c r="R17" s="11">
        <f t="shared" si="2"/>
        <v>3.3878468574959984E-2</v>
      </c>
      <c r="S17" s="11">
        <f t="shared" si="2"/>
        <v>2.0034910991440367E-2</v>
      </c>
      <c r="T17" s="11" t="e">
        <f t="shared" si="2"/>
        <v>#DIV/0!</v>
      </c>
      <c r="U17" s="11" t="e">
        <f t="shared" si="2"/>
        <v>#DIV/0!</v>
      </c>
      <c r="V17" s="11" t="e">
        <f t="shared" si="2"/>
        <v>#DIV/0!</v>
      </c>
      <c r="W17" s="11" t="e">
        <f t="shared" si="2"/>
        <v>#DIV/0!</v>
      </c>
      <c r="X17" s="11" t="e">
        <f t="shared" si="2"/>
        <v>#DIV/0!</v>
      </c>
      <c r="Y17" s="11" t="e">
        <f t="shared" si="2"/>
        <v>#DIV/0!</v>
      </c>
      <c r="Z17" s="11" t="e">
        <f t="shared" si="2"/>
        <v>#DIV/0!</v>
      </c>
      <c r="AA17" s="11" t="e">
        <f t="shared" si="2"/>
        <v>#DIV/0!</v>
      </c>
    </row>
    <row r="18" spans="1:27" ht="14.25" customHeight="1" x14ac:dyDescent="0.2">
      <c r="A18" s="9" t="s">
        <v>44</v>
      </c>
      <c r="B18" s="11">
        <f t="shared" ref="B18:AA18" si="3">B10/B9</f>
        <v>0.12487793031562713</v>
      </c>
      <c r="C18" s="11">
        <f t="shared" si="3"/>
        <v>8.8429266518227315E-2</v>
      </c>
      <c r="D18" s="11">
        <f t="shared" si="3"/>
        <v>0.21453339831489437</v>
      </c>
      <c r="E18" s="11">
        <f t="shared" si="3"/>
        <v>0.14178116047767933</v>
      </c>
      <c r="F18" s="11">
        <f t="shared" si="3"/>
        <v>7.7772624799035919E-2</v>
      </c>
      <c r="G18" s="11">
        <f t="shared" si="3"/>
        <v>4.2219192300761911E-2</v>
      </c>
      <c r="H18" s="11">
        <f t="shared" si="3"/>
        <v>0.1950587064360304</v>
      </c>
      <c r="I18" s="11">
        <f t="shared" si="3"/>
        <v>0.13576211853977516</v>
      </c>
      <c r="J18" s="11">
        <f t="shared" si="3"/>
        <v>0.10113338644921516</v>
      </c>
      <c r="K18" s="11">
        <f t="shared" si="3"/>
        <v>4.7926390264185804E-2</v>
      </c>
      <c r="L18" s="11">
        <f t="shared" si="3"/>
        <v>7.0293024703599827E-2</v>
      </c>
      <c r="M18" s="11">
        <f t="shared" si="3"/>
        <v>7.1174333714773982E-2</v>
      </c>
      <c r="N18" s="11">
        <f t="shared" si="3"/>
        <v>6.6423695439545285E-3</v>
      </c>
      <c r="O18" s="11">
        <f t="shared" si="3"/>
        <v>-1.9765881463077145E-2</v>
      </c>
      <c r="P18" s="11">
        <f t="shared" si="3"/>
        <v>0.1113782544696069</v>
      </c>
      <c r="Q18" s="11">
        <f t="shared" si="3"/>
        <v>0.11151318085549428</v>
      </c>
      <c r="R18" s="11">
        <f t="shared" si="3"/>
        <v>8.8213646404631321E-2</v>
      </c>
      <c r="S18" s="11">
        <f t="shared" si="3"/>
        <v>4.7186684476138149E-2</v>
      </c>
      <c r="T18" s="11" t="e">
        <f t="shared" si="3"/>
        <v>#DIV/0!</v>
      </c>
      <c r="U18" s="11" t="e">
        <f t="shared" si="3"/>
        <v>#DIV/0!</v>
      </c>
      <c r="V18" s="11" t="e">
        <f t="shared" si="3"/>
        <v>#DIV/0!</v>
      </c>
      <c r="W18" s="11" t="e">
        <f t="shared" si="3"/>
        <v>#DIV/0!</v>
      </c>
      <c r="X18" s="11" t="e">
        <f t="shared" si="3"/>
        <v>#DIV/0!</v>
      </c>
      <c r="Y18" s="11" t="e">
        <f t="shared" si="3"/>
        <v>#DIV/0!</v>
      </c>
      <c r="Z18" s="11" t="e">
        <f t="shared" si="3"/>
        <v>#DIV/0!</v>
      </c>
      <c r="AA18" s="11" t="e">
        <f t="shared" si="3"/>
        <v>#DIV/0!</v>
      </c>
    </row>
    <row r="19" spans="1:27" ht="14.25" customHeight="1" x14ac:dyDescent="0.2">
      <c r="A19" s="9" t="s">
        <v>45</v>
      </c>
      <c r="B19" s="12">
        <f t="shared" ref="B19:AA19" si="4">B14/B15</f>
        <v>1.3758144444609799</v>
      </c>
      <c r="C19" s="12">
        <f t="shared" si="4"/>
        <v>1.0896965262652074</v>
      </c>
      <c r="D19" s="12">
        <f t="shared" si="4"/>
        <v>1.5762103217342747</v>
      </c>
      <c r="E19" s="12">
        <f t="shared" si="4"/>
        <v>1.5929271119943176</v>
      </c>
      <c r="F19" s="12">
        <f t="shared" si="4"/>
        <v>1.1338090676191737</v>
      </c>
      <c r="G19" s="12">
        <f t="shared" si="4"/>
        <v>1.1255169950688422</v>
      </c>
      <c r="H19" s="12">
        <f t="shared" si="4"/>
        <v>1.3485743969339861</v>
      </c>
      <c r="I19" s="12">
        <f t="shared" si="4"/>
        <v>1.2879344057578688</v>
      </c>
      <c r="J19" s="12">
        <f t="shared" si="4"/>
        <v>1.2719010268174129</v>
      </c>
      <c r="K19" s="12">
        <f t="shared" si="4"/>
        <v>1.1609436798527686</v>
      </c>
      <c r="L19" s="12">
        <f t="shared" si="4"/>
        <v>1.2835342920747772</v>
      </c>
      <c r="M19" s="12">
        <f t="shared" si="4"/>
        <v>1.0684196214807202</v>
      </c>
      <c r="N19" s="12">
        <f t="shared" si="4"/>
        <v>1.2899549491487134</v>
      </c>
      <c r="O19" s="12">
        <f t="shared" si="4"/>
        <v>1.1395735514447385</v>
      </c>
      <c r="P19" s="12">
        <f t="shared" si="4"/>
        <v>1.0808501116190756</v>
      </c>
      <c r="Q19" s="12">
        <f t="shared" si="4"/>
        <v>1.2360249484692798</v>
      </c>
      <c r="R19" s="12">
        <f t="shared" si="4"/>
        <v>1.4003541791642069</v>
      </c>
      <c r="S19" s="12">
        <f t="shared" si="4"/>
        <v>1.2785438651030234</v>
      </c>
      <c r="T19" s="12" t="e">
        <f t="shared" si="4"/>
        <v>#DIV/0!</v>
      </c>
      <c r="U19" s="12" t="e">
        <f t="shared" si="4"/>
        <v>#DIV/0!</v>
      </c>
      <c r="V19" s="12" t="e">
        <f t="shared" si="4"/>
        <v>#DIV/0!</v>
      </c>
      <c r="W19" s="12" t="e">
        <f t="shared" si="4"/>
        <v>#DIV/0!</v>
      </c>
      <c r="X19" s="10" t="e">
        <f t="shared" si="4"/>
        <v>#DIV/0!</v>
      </c>
      <c r="Y19" s="10" t="e">
        <f t="shared" si="4"/>
        <v>#DIV/0!</v>
      </c>
      <c r="Z19" s="10" t="e">
        <f t="shared" si="4"/>
        <v>#DIV/0!</v>
      </c>
      <c r="AA19" s="10" t="e">
        <f t="shared" si="4"/>
        <v>#DIV/0!</v>
      </c>
    </row>
    <row r="20" spans="1:27" ht="14.25" customHeight="1" x14ac:dyDescent="0.2">
      <c r="A20" s="9" t="s">
        <v>46</v>
      </c>
      <c r="B20" s="12">
        <f t="shared" ref="B20:AA20" si="5">B14/B21</f>
        <v>11.017274557510916</v>
      </c>
      <c r="C20" s="12">
        <f t="shared" si="5"/>
        <v>12.322804080259962</v>
      </c>
      <c r="D20" s="12">
        <f t="shared" si="5"/>
        <v>7.3471558932781944</v>
      </c>
      <c r="E20" s="12">
        <f t="shared" si="5"/>
        <v>11.235111256160812</v>
      </c>
      <c r="F20" s="12">
        <f t="shared" si="5"/>
        <v>14.578511019126982</v>
      </c>
      <c r="G20" s="12">
        <f t="shared" si="5"/>
        <v>26.658894539025333</v>
      </c>
      <c r="H20" s="12">
        <f t="shared" si="5"/>
        <v>6.9136847135621284</v>
      </c>
      <c r="I20" s="12">
        <f t="shared" si="5"/>
        <v>9.4866993798460335</v>
      </c>
      <c r="J20" s="12">
        <f t="shared" si="5"/>
        <v>12.576470258475</v>
      </c>
      <c r="K20" s="12">
        <f t="shared" si="5"/>
        <v>24.223474237330837</v>
      </c>
      <c r="L20" s="12">
        <f t="shared" si="5"/>
        <v>18.259767558544759</v>
      </c>
      <c r="M20" s="12">
        <f t="shared" si="5"/>
        <v>15.011304858326247</v>
      </c>
      <c r="N20" s="12">
        <f t="shared" si="5"/>
        <v>194.20102127903289</v>
      </c>
      <c r="O20" s="12">
        <f t="shared" si="5"/>
        <v>-57.653565998231478</v>
      </c>
      <c r="P20" s="12">
        <f t="shared" si="5"/>
        <v>9.7043190052329287</v>
      </c>
      <c r="Q20" s="12">
        <f t="shared" si="5"/>
        <v>11.08411524975687</v>
      </c>
      <c r="R20" s="12">
        <f t="shared" si="5"/>
        <v>15.874575377383863</v>
      </c>
      <c r="S20" s="12">
        <f t="shared" si="5"/>
        <v>27.095437606970894</v>
      </c>
      <c r="T20" s="12" t="e">
        <f t="shared" si="5"/>
        <v>#DIV/0!</v>
      </c>
      <c r="U20" s="12" t="e">
        <f t="shared" si="5"/>
        <v>#DIV/0!</v>
      </c>
      <c r="V20" s="12" t="e">
        <f t="shared" si="5"/>
        <v>#DIV/0!</v>
      </c>
      <c r="W20" s="12" t="e">
        <f t="shared" si="5"/>
        <v>#DIV/0!</v>
      </c>
      <c r="X20" s="10" t="e">
        <f t="shared" si="5"/>
        <v>#DIV/0!</v>
      </c>
      <c r="Y20" s="10" t="e">
        <f t="shared" si="5"/>
        <v>#DIV/0!</v>
      </c>
      <c r="Z20" s="10" t="e">
        <f t="shared" si="5"/>
        <v>#DIV/0!</v>
      </c>
      <c r="AA20" s="10" t="e">
        <f t="shared" si="5"/>
        <v>#DIV/0!</v>
      </c>
    </row>
    <row r="21" spans="1:27" ht="14.25" customHeight="1" x14ac:dyDescent="0.2">
      <c r="A21" s="9" t="s">
        <v>47</v>
      </c>
      <c r="B21" s="6">
        <f t="shared" ref="B21:AA21" si="6">B10/B13</f>
        <v>211.48606107955672</v>
      </c>
      <c r="C21" s="6">
        <f t="shared" si="6"/>
        <v>156.2144449803985</v>
      </c>
      <c r="D21" s="6">
        <f t="shared" si="6"/>
        <v>344.35093480385518</v>
      </c>
      <c r="E21" s="6">
        <f t="shared" si="6"/>
        <v>207.38557428368469</v>
      </c>
      <c r="F21" s="6">
        <f t="shared" si="6"/>
        <v>106.32087172458165</v>
      </c>
      <c r="G21" s="6">
        <f t="shared" si="6"/>
        <v>58.517055075796648</v>
      </c>
      <c r="H21" s="6">
        <f t="shared" si="6"/>
        <v>259.63000547000132</v>
      </c>
      <c r="I21" s="6">
        <f t="shared" si="6"/>
        <v>180.25236507786892</v>
      </c>
      <c r="J21" s="6">
        <f t="shared" si="6"/>
        <v>127.22170586153106</v>
      </c>
      <c r="K21" s="6">
        <f t="shared" si="6"/>
        <v>57.175943732529255</v>
      </c>
      <c r="L21" s="6">
        <f t="shared" si="6"/>
        <v>79.957206208618189</v>
      </c>
      <c r="M21" s="6">
        <f t="shared" si="6"/>
        <v>80.605917434876105</v>
      </c>
      <c r="N21" s="6">
        <f t="shared" si="6"/>
        <v>7.0545458050478</v>
      </c>
      <c r="O21" s="6">
        <f t="shared" si="6"/>
        <v>-21.507776293283175</v>
      </c>
      <c r="P21" s="6">
        <f t="shared" si="6"/>
        <v>121.08010869865227</v>
      </c>
      <c r="Q21" s="6">
        <f t="shared" si="6"/>
        <v>121.79591871616566</v>
      </c>
      <c r="R21" s="6">
        <f t="shared" si="6"/>
        <v>94.805685457523381</v>
      </c>
      <c r="S21" s="6">
        <f t="shared" si="6"/>
        <v>51.484682411665709</v>
      </c>
      <c r="T21" s="6" t="e">
        <f t="shared" si="6"/>
        <v>#DIV/0!</v>
      </c>
      <c r="U21" s="6" t="e">
        <f t="shared" si="6"/>
        <v>#DIV/0!</v>
      </c>
      <c r="V21" s="6" t="e">
        <f t="shared" si="6"/>
        <v>#DIV/0!</v>
      </c>
      <c r="W21" s="6" t="e">
        <f t="shared" si="6"/>
        <v>#DIV/0!</v>
      </c>
      <c r="X21" s="10" t="e">
        <f t="shared" si="6"/>
        <v>#DIV/0!</v>
      </c>
      <c r="Y21" s="10" t="e">
        <f t="shared" si="6"/>
        <v>#DIV/0!</v>
      </c>
      <c r="Z21" s="10" t="e">
        <f t="shared" si="6"/>
        <v>#DIV/0!</v>
      </c>
      <c r="AA21" s="10" t="e">
        <f t="shared" si="6"/>
        <v>#DIV/0!</v>
      </c>
    </row>
    <row r="22" spans="1:27" ht="14.25" customHeight="1" x14ac:dyDescent="0.2">
      <c r="A22" s="9" t="s">
        <v>48</v>
      </c>
      <c r="B22" s="11">
        <f t="shared" ref="B22:AA22" si="7">B7/B9</f>
        <v>1.2012030251791204</v>
      </c>
      <c r="C22" s="11">
        <f t="shared" si="7"/>
        <v>0.84268240650910597</v>
      </c>
      <c r="D22" s="11">
        <f t="shared" si="7"/>
        <v>1.0738177781578371</v>
      </c>
      <c r="E22" s="11">
        <f t="shared" si="7"/>
        <v>1.1188250526414691</v>
      </c>
      <c r="F22" s="11">
        <f t="shared" si="7"/>
        <v>1.2145394818127671</v>
      </c>
      <c r="G22" s="11">
        <f t="shared" si="7"/>
        <v>1.1334721700321215</v>
      </c>
      <c r="H22" s="11">
        <f t="shared" si="7"/>
        <v>1.1690864115783857</v>
      </c>
      <c r="I22" s="11">
        <f t="shared" si="7"/>
        <v>1.2337076421691391</v>
      </c>
      <c r="J22" s="11">
        <f t="shared" si="7"/>
        <v>1.3993754622401184</v>
      </c>
      <c r="K22" s="11">
        <f t="shared" si="7"/>
        <v>1.5092405054530964</v>
      </c>
      <c r="L22" s="11">
        <f t="shared" si="7"/>
        <v>1.5077710750504432</v>
      </c>
      <c r="M22" s="11">
        <f t="shared" si="7"/>
        <v>1.5719292034618682</v>
      </c>
      <c r="N22" s="11">
        <f t="shared" si="7"/>
        <v>1.6685952193835065</v>
      </c>
      <c r="O22" s="11">
        <f t="shared" si="7"/>
        <v>1.5579984094099157</v>
      </c>
      <c r="P22" s="11">
        <f t="shared" si="7"/>
        <v>1.4932572013983321</v>
      </c>
      <c r="Q22" s="11">
        <f t="shared" si="7"/>
        <v>1.5222286349340493</v>
      </c>
      <c r="R22" s="11">
        <f t="shared" si="7"/>
        <v>1.5297428048192159</v>
      </c>
      <c r="S22" s="11">
        <f t="shared" si="7"/>
        <v>1.283858303718183</v>
      </c>
      <c r="T22" s="11" t="e">
        <f t="shared" si="7"/>
        <v>#DIV/0!</v>
      </c>
      <c r="U22" s="11" t="e">
        <f t="shared" si="7"/>
        <v>#DIV/0!</v>
      </c>
      <c r="V22" s="11" t="e">
        <f t="shared" si="7"/>
        <v>#DIV/0!</v>
      </c>
      <c r="W22" s="11" t="e">
        <f t="shared" si="7"/>
        <v>#DIV/0!</v>
      </c>
      <c r="X22" s="11" t="e">
        <f t="shared" si="7"/>
        <v>#DIV/0!</v>
      </c>
      <c r="Y22" s="11" t="e">
        <f t="shared" si="7"/>
        <v>#DIV/0!</v>
      </c>
      <c r="Z22" s="11" t="e">
        <f t="shared" si="7"/>
        <v>#DIV/0!</v>
      </c>
      <c r="AA22" s="11" t="e">
        <f t="shared" si="7"/>
        <v>#DIV/0!</v>
      </c>
    </row>
    <row r="23" spans="1:27" ht="14.25" customHeight="1" x14ac:dyDescent="0.2"/>
    <row r="24" spans="1:27" ht="14.25" customHeight="1" x14ac:dyDescent="0.2">
      <c r="K24" s="19"/>
      <c r="L24" s="19"/>
      <c r="M24" s="19"/>
      <c r="N24" s="19"/>
      <c r="O24" s="19"/>
      <c r="P24" s="19"/>
      <c r="Q24" s="19"/>
      <c r="R24" s="19"/>
      <c r="S24" s="19"/>
      <c r="T24" s="19"/>
    </row>
    <row r="25" spans="1:27" ht="14.25" customHeight="1" x14ac:dyDescent="0.2">
      <c r="B25" s="19"/>
      <c r="C25" s="19"/>
      <c r="D25" s="19"/>
      <c r="E25" s="19"/>
      <c r="F25" s="19"/>
      <c r="G25" s="19"/>
      <c r="H25" s="19"/>
      <c r="I25" s="19"/>
      <c r="J25" s="19"/>
      <c r="K25" s="19"/>
    </row>
    <row r="26" spans="1:27" ht="14.25" customHeight="1" x14ac:dyDescent="0.2">
      <c r="B26" s="19"/>
      <c r="C26" s="19"/>
      <c r="D26" s="19"/>
      <c r="E26" s="19"/>
      <c r="F26" s="19"/>
      <c r="G26" s="19"/>
      <c r="H26" s="19"/>
      <c r="I26" s="19"/>
      <c r="J26" s="19"/>
      <c r="K26" s="19"/>
    </row>
    <row r="27" spans="1:27" ht="14.25" customHeight="1" x14ac:dyDescent="0.2">
      <c r="B27" s="19"/>
      <c r="C27" s="19"/>
      <c r="D27" s="19"/>
      <c r="E27" s="19"/>
      <c r="F27" s="19"/>
      <c r="G27" s="19"/>
      <c r="H27" s="19"/>
      <c r="I27" s="19"/>
      <c r="J27" s="19"/>
      <c r="K27" s="19"/>
    </row>
    <row r="28" spans="1:27" ht="14.25" customHeight="1" x14ac:dyDescent="0.2">
      <c r="B28" s="19"/>
      <c r="C28" s="19"/>
      <c r="D28" s="19"/>
      <c r="E28" s="19"/>
      <c r="F28" s="19"/>
      <c r="G28" s="19"/>
      <c r="H28" s="19"/>
      <c r="I28" s="19"/>
      <c r="J28" s="19"/>
      <c r="K28" s="19"/>
    </row>
    <row r="29" spans="1:27" ht="14.25" customHeight="1" x14ac:dyDescent="0.2">
      <c r="B29" s="19"/>
      <c r="C29" s="19"/>
      <c r="D29" s="19"/>
      <c r="E29" s="19"/>
      <c r="F29" s="19"/>
      <c r="G29" s="19"/>
      <c r="H29" s="19"/>
      <c r="I29" s="19"/>
      <c r="J29" s="19"/>
      <c r="K29" s="19"/>
    </row>
    <row r="30" spans="1:27" ht="14.25" customHeight="1" x14ac:dyDescent="0.2">
      <c r="B30" s="19"/>
      <c r="C30" s="19"/>
      <c r="D30" s="19"/>
      <c r="E30" s="19"/>
      <c r="F30" s="19"/>
      <c r="G30" s="19"/>
      <c r="H30" s="19"/>
      <c r="I30" s="19"/>
      <c r="J30" s="19"/>
      <c r="K30" s="19"/>
    </row>
    <row r="31" spans="1:27" ht="14.25" customHeight="1" x14ac:dyDescent="0.2">
      <c r="B31" s="19"/>
      <c r="C31" s="19"/>
      <c r="D31" s="19"/>
      <c r="E31" s="19"/>
      <c r="F31" s="19"/>
      <c r="G31" s="19"/>
      <c r="H31" s="19"/>
      <c r="I31" s="19"/>
      <c r="J31" s="19"/>
      <c r="K31" s="19"/>
    </row>
    <row r="32" spans="1:27" ht="14.25" customHeight="1" x14ac:dyDescent="0.2">
      <c r="B32" s="19"/>
      <c r="C32" s="19"/>
      <c r="D32" s="19"/>
      <c r="E32" s="19"/>
      <c r="F32" s="19"/>
      <c r="G32" s="19"/>
      <c r="H32" s="19"/>
      <c r="I32" s="19"/>
      <c r="J32" s="19"/>
      <c r="K32" s="19"/>
    </row>
    <row r="33" spans="2:15" ht="14.25" customHeight="1" x14ac:dyDescent="0.2">
      <c r="B33" s="19"/>
      <c r="C33" s="19"/>
      <c r="D33" s="19"/>
      <c r="E33" s="19"/>
      <c r="F33" s="19"/>
      <c r="G33" s="19"/>
      <c r="H33" s="19"/>
      <c r="I33" s="19"/>
      <c r="J33" s="19"/>
      <c r="K33" s="19"/>
    </row>
    <row r="34" spans="2:15" ht="14.25" customHeight="1" x14ac:dyDescent="0.2">
      <c r="B34" s="19"/>
      <c r="C34" s="19"/>
      <c r="D34" s="19"/>
      <c r="E34" s="19"/>
      <c r="F34" s="19"/>
      <c r="G34" s="19"/>
      <c r="H34" s="19"/>
      <c r="I34" s="19"/>
      <c r="J34" s="19"/>
      <c r="K34" s="19"/>
    </row>
    <row r="35" spans="2:15" ht="14.25" customHeight="1" x14ac:dyDescent="0.2">
      <c r="B35" s="19"/>
      <c r="C35" s="19"/>
      <c r="D35" s="19"/>
      <c r="E35" s="19"/>
      <c r="F35" s="19"/>
      <c r="G35" s="19"/>
      <c r="H35" s="19"/>
      <c r="I35" s="19"/>
      <c r="J35" s="19"/>
      <c r="K35" s="19"/>
    </row>
    <row r="36" spans="2:15" ht="14.25" customHeight="1" x14ac:dyDescent="0.2">
      <c r="B36" s="19"/>
      <c r="C36" s="19"/>
      <c r="D36" s="19"/>
      <c r="E36" s="19"/>
      <c r="F36" s="19"/>
      <c r="G36" s="19"/>
      <c r="H36" s="19"/>
      <c r="I36" s="19"/>
      <c r="J36" s="19"/>
      <c r="K36" s="19"/>
    </row>
    <row r="37" spans="2:15" ht="14.25" customHeight="1" x14ac:dyDescent="0.2">
      <c r="B37" s="19"/>
      <c r="C37" s="19"/>
      <c r="D37" s="19"/>
      <c r="E37" s="19"/>
      <c r="F37" s="19"/>
      <c r="G37" s="19"/>
      <c r="H37" s="19"/>
      <c r="I37" s="19"/>
      <c r="J37" s="19"/>
      <c r="K37" s="19"/>
    </row>
    <row r="38" spans="2:15" ht="14.25" customHeight="1" x14ac:dyDescent="0.2">
      <c r="B38" s="19"/>
      <c r="C38" s="19"/>
      <c r="D38" s="19"/>
      <c r="E38" s="19"/>
      <c r="F38" s="19"/>
      <c r="G38" s="19"/>
      <c r="H38" s="19"/>
      <c r="I38" s="19"/>
      <c r="J38" s="19"/>
      <c r="K38" s="19"/>
    </row>
    <row r="39" spans="2:15" ht="14.25" customHeight="1" x14ac:dyDescent="0.2">
      <c r="B39" s="19"/>
      <c r="C39" s="19"/>
      <c r="D39" s="19"/>
      <c r="E39" s="19"/>
      <c r="F39" s="19"/>
      <c r="G39" s="19"/>
      <c r="H39" s="19"/>
      <c r="I39" s="19"/>
      <c r="J39" s="19"/>
      <c r="K39" s="19"/>
    </row>
    <row r="40" spans="2:15" ht="14.25" customHeight="1" x14ac:dyDescent="0.2">
      <c r="B40" s="19"/>
      <c r="C40" s="19"/>
      <c r="D40" s="19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</row>
    <row r="41" spans="2:15" ht="14.25" customHeight="1" x14ac:dyDescent="0.2">
      <c r="B41" s="19"/>
      <c r="C41" s="19"/>
      <c r="D41" s="19"/>
      <c r="E41" s="19"/>
      <c r="F41" s="19"/>
      <c r="G41" s="19"/>
      <c r="H41" s="19"/>
      <c r="I41" s="19"/>
      <c r="J41" s="19"/>
      <c r="K41" s="19"/>
      <c r="L41" s="19"/>
      <c r="M41" s="19"/>
      <c r="N41" s="19"/>
      <c r="O41" s="19"/>
    </row>
    <row r="42" spans="2:15" ht="14.25" customHeight="1" x14ac:dyDescent="0.2">
      <c r="B42" s="19"/>
      <c r="C42" s="19"/>
      <c r="D42" s="19"/>
      <c r="E42" s="19"/>
      <c r="F42" s="19"/>
      <c r="G42" s="19"/>
      <c r="H42" s="19"/>
      <c r="I42" s="19"/>
      <c r="J42" s="19"/>
      <c r="K42" s="19"/>
      <c r="L42" s="19"/>
      <c r="M42" s="19"/>
      <c r="N42" s="19"/>
      <c r="O42" s="19"/>
    </row>
    <row r="43" spans="2:15" ht="14.25" customHeight="1" x14ac:dyDescent="0.2">
      <c r="B43" s="19"/>
      <c r="C43" s="19"/>
      <c r="D43" s="19"/>
      <c r="E43" s="19"/>
      <c r="F43" s="19"/>
      <c r="G43" s="19"/>
      <c r="H43" s="19"/>
      <c r="I43" s="19"/>
      <c r="J43" s="19"/>
      <c r="K43" s="19"/>
      <c r="L43" s="19"/>
      <c r="M43" s="19"/>
      <c r="N43" s="19"/>
      <c r="O43" s="19"/>
    </row>
    <row r="44" spans="2:15" ht="14.25" customHeight="1" x14ac:dyDescent="0.2">
      <c r="B44" s="19"/>
      <c r="C44" s="19"/>
      <c r="D44" s="19"/>
      <c r="E44" s="19"/>
      <c r="F44" s="19"/>
      <c r="G44" s="19"/>
      <c r="H44" s="19"/>
      <c r="I44" s="19"/>
      <c r="J44" s="19"/>
      <c r="K44" s="19"/>
      <c r="L44" s="19"/>
      <c r="M44" s="19"/>
      <c r="N44" s="19"/>
      <c r="O44" s="19"/>
    </row>
    <row r="45" spans="2:15" ht="14.25" customHeight="1" x14ac:dyDescent="0.2">
      <c r="B45" s="19"/>
      <c r="C45" s="19"/>
      <c r="D45" s="19"/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</row>
    <row r="46" spans="2:15" ht="14.25" customHeight="1" x14ac:dyDescent="0.2">
      <c r="B46" s="19"/>
      <c r="C46" s="19"/>
      <c r="D46" s="19"/>
      <c r="E46" s="19"/>
      <c r="F46" s="19"/>
      <c r="G46" s="19"/>
      <c r="H46" s="19"/>
      <c r="I46" s="19"/>
      <c r="J46" s="19"/>
      <c r="K46" s="19"/>
      <c r="L46" s="19"/>
      <c r="M46" s="19"/>
      <c r="N46" s="19"/>
      <c r="O46" s="19"/>
    </row>
    <row r="47" spans="2:15" ht="14.25" customHeight="1" x14ac:dyDescent="0.2">
      <c r="B47" s="19"/>
      <c r="C47" s="19"/>
      <c r="D47" s="19"/>
      <c r="E47" s="19"/>
      <c r="F47" s="19"/>
      <c r="G47" s="19"/>
      <c r="H47" s="19"/>
      <c r="I47" s="19"/>
      <c r="J47" s="19"/>
      <c r="K47" s="19"/>
      <c r="L47" s="19"/>
      <c r="M47" s="19"/>
      <c r="N47" s="19"/>
      <c r="O47" s="19"/>
    </row>
    <row r="48" spans="2:15" ht="14.25" customHeight="1" x14ac:dyDescent="0.2">
      <c r="B48" s="19"/>
      <c r="C48" s="19"/>
      <c r="D48" s="19"/>
      <c r="E48" s="19"/>
      <c r="F48" s="19"/>
      <c r="G48" s="19"/>
      <c r="H48" s="19"/>
      <c r="I48" s="19"/>
      <c r="J48" s="19"/>
      <c r="K48" s="19"/>
      <c r="L48" s="19"/>
      <c r="M48" s="19"/>
      <c r="N48" s="19"/>
      <c r="O48" s="19"/>
    </row>
    <row r="49" spans="2:15" ht="14.25" customHeight="1" x14ac:dyDescent="0.2">
      <c r="B49" s="19"/>
      <c r="C49" s="19"/>
      <c r="D49" s="19"/>
      <c r="E49" s="19"/>
      <c r="F49" s="19"/>
      <c r="G49" s="19"/>
      <c r="H49" s="19"/>
      <c r="I49" s="19"/>
      <c r="J49" s="19"/>
      <c r="K49" s="19"/>
      <c r="L49" s="19"/>
      <c r="M49" s="19"/>
      <c r="N49" s="19"/>
      <c r="O49" s="19"/>
    </row>
    <row r="50" spans="2:15" ht="14.25" customHeight="1" x14ac:dyDescent="0.2"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9"/>
      <c r="N50" s="19"/>
      <c r="O50" s="19"/>
    </row>
    <row r="51" spans="2:15" ht="14.25" customHeight="1" x14ac:dyDescent="0.2">
      <c r="B51" s="19"/>
      <c r="C51" s="19"/>
      <c r="D51" s="19"/>
      <c r="E51" s="19"/>
      <c r="F51" s="19"/>
      <c r="G51" s="19"/>
      <c r="H51" s="19"/>
      <c r="I51" s="19"/>
      <c r="J51" s="19"/>
      <c r="K51" s="19"/>
      <c r="L51" s="19"/>
      <c r="M51" s="19"/>
      <c r="N51" s="19"/>
      <c r="O51" s="19"/>
    </row>
    <row r="52" spans="2:15" ht="14.25" customHeight="1" x14ac:dyDescent="0.2"/>
    <row r="53" spans="2:15" ht="14.25" customHeight="1" x14ac:dyDescent="0.2"/>
    <row r="54" spans="2:15" ht="14.25" customHeight="1" x14ac:dyDescent="0.2"/>
    <row r="55" spans="2:15" ht="14.25" customHeight="1" x14ac:dyDescent="0.2"/>
    <row r="56" spans="2:15" ht="14.25" customHeight="1" x14ac:dyDescent="0.2"/>
    <row r="57" spans="2:15" ht="14.25" customHeight="1" x14ac:dyDescent="0.2"/>
    <row r="58" spans="2:15" ht="14.25" customHeight="1" x14ac:dyDescent="0.2"/>
    <row r="59" spans="2:15" ht="14.25" customHeight="1" x14ac:dyDescent="0.2"/>
    <row r="60" spans="2:15" ht="14.25" customHeight="1" x14ac:dyDescent="0.2"/>
    <row r="61" spans="2:15" ht="14.25" customHeight="1" x14ac:dyDescent="0.2"/>
    <row r="62" spans="2:15" ht="14.25" customHeight="1" x14ac:dyDescent="0.2"/>
    <row r="63" spans="2:15" ht="14.25" customHeight="1" x14ac:dyDescent="0.2"/>
    <row r="64" spans="2:15" ht="14.25" customHeight="1" x14ac:dyDescent="0.2"/>
    <row r="65" ht="14.25" customHeight="1" x14ac:dyDescent="0.2"/>
    <row r="66" ht="14.25" customHeight="1" x14ac:dyDescent="0.2"/>
    <row r="67" ht="14.25" customHeight="1" x14ac:dyDescent="0.2"/>
    <row r="68" ht="14.25" customHeight="1" x14ac:dyDescent="0.2"/>
    <row r="69" ht="14.25" customHeight="1" x14ac:dyDescent="0.2"/>
    <row r="70" ht="14.25" customHeight="1" x14ac:dyDescent="0.2"/>
    <row r="71" ht="14.25" customHeight="1" x14ac:dyDescent="0.2"/>
    <row r="72" ht="14.25" customHeight="1" x14ac:dyDescent="0.2"/>
    <row r="73" ht="14.25" customHeight="1" x14ac:dyDescent="0.2"/>
    <row r="74" ht="14.25" customHeight="1" x14ac:dyDescent="0.2"/>
    <row r="75" ht="14.25" customHeight="1" x14ac:dyDescent="0.2"/>
    <row r="76" ht="14.25" customHeight="1" x14ac:dyDescent="0.2"/>
    <row r="77" ht="14.25" customHeight="1" x14ac:dyDescent="0.2"/>
    <row r="78" ht="14.25" customHeight="1" x14ac:dyDescent="0.2"/>
    <row r="79" ht="14.25" customHeight="1" x14ac:dyDescent="0.2"/>
    <row r="80" ht="14.25" customHeight="1" x14ac:dyDescent="0.2"/>
    <row r="81" ht="14.25" customHeight="1" x14ac:dyDescent="0.2"/>
    <row r="82" ht="14.25" customHeight="1" x14ac:dyDescent="0.2"/>
    <row r="83" ht="14.25" customHeight="1" x14ac:dyDescent="0.2"/>
    <row r="84" ht="14.25" customHeight="1" x14ac:dyDescent="0.2"/>
    <row r="85" ht="14.25" customHeight="1" x14ac:dyDescent="0.2"/>
    <row r="86" ht="14.25" customHeight="1" x14ac:dyDescent="0.2"/>
    <row r="87" ht="14.25" customHeight="1" x14ac:dyDescent="0.2"/>
    <row r="88" ht="14.25" customHeight="1" x14ac:dyDescent="0.2"/>
    <row r="89" ht="14.25" customHeight="1" x14ac:dyDescent="0.2"/>
    <row r="90" ht="14.25" customHeight="1" x14ac:dyDescent="0.2"/>
    <row r="91" ht="14.25" customHeight="1" x14ac:dyDescent="0.2"/>
    <row r="92" ht="14.25" customHeight="1" x14ac:dyDescent="0.2"/>
    <row r="93" ht="14.25" customHeight="1" x14ac:dyDescent="0.2"/>
    <row r="94" ht="14.25" customHeight="1" x14ac:dyDescent="0.2"/>
    <row r="95" ht="14.25" customHeight="1" x14ac:dyDescent="0.2"/>
    <row r="96" ht="14.25" customHeight="1" x14ac:dyDescent="0.2"/>
    <row r="97" ht="14.25" customHeight="1" x14ac:dyDescent="0.2"/>
    <row r="98" ht="14.25" customHeight="1" x14ac:dyDescent="0.2"/>
    <row r="99" ht="14.25" customHeight="1" x14ac:dyDescent="0.2"/>
    <row r="100" ht="14.25" customHeight="1" x14ac:dyDescent="0.2"/>
    <row r="101" ht="14.25" customHeight="1" x14ac:dyDescent="0.2"/>
    <row r="102" ht="14.25" customHeight="1" x14ac:dyDescent="0.2"/>
    <row r="103" ht="14.25" customHeight="1" x14ac:dyDescent="0.2"/>
    <row r="104" ht="14.25" customHeight="1" x14ac:dyDescent="0.2"/>
    <row r="105" ht="14.25" customHeight="1" x14ac:dyDescent="0.2"/>
    <row r="106" ht="14.25" customHeight="1" x14ac:dyDescent="0.2"/>
    <row r="107" ht="14.25" customHeight="1" x14ac:dyDescent="0.2"/>
    <row r="108" ht="14.25" customHeight="1" x14ac:dyDescent="0.2"/>
    <row r="109" ht="14.25" customHeight="1" x14ac:dyDescent="0.2"/>
    <row r="110" ht="14.25" customHeight="1" x14ac:dyDescent="0.2"/>
    <row r="111" ht="14.25" customHeight="1" x14ac:dyDescent="0.2"/>
    <row r="112" ht="14.25" customHeight="1" x14ac:dyDescent="0.2"/>
    <row r="113" ht="14.25" customHeight="1" x14ac:dyDescent="0.2"/>
    <row r="114" ht="14.25" customHeight="1" x14ac:dyDescent="0.2"/>
    <row r="115" ht="14.25" customHeight="1" x14ac:dyDescent="0.2"/>
    <row r="116" ht="14.25" customHeight="1" x14ac:dyDescent="0.2"/>
    <row r="117" ht="14.25" customHeight="1" x14ac:dyDescent="0.2"/>
    <row r="118" ht="14.25" customHeight="1" x14ac:dyDescent="0.2"/>
    <row r="119" ht="14.25" customHeight="1" x14ac:dyDescent="0.2"/>
    <row r="120" ht="14.25" customHeight="1" x14ac:dyDescent="0.2"/>
    <row r="121" ht="14.25" customHeight="1" x14ac:dyDescent="0.2"/>
    <row r="122" ht="14.25" customHeight="1" x14ac:dyDescent="0.2"/>
    <row r="123" ht="14.25" customHeight="1" x14ac:dyDescent="0.2"/>
    <row r="124" ht="14.25" customHeight="1" x14ac:dyDescent="0.2"/>
    <row r="125" ht="14.25" customHeight="1" x14ac:dyDescent="0.2"/>
    <row r="126" ht="14.25" customHeight="1" x14ac:dyDescent="0.2"/>
    <row r="127" ht="14.25" customHeight="1" x14ac:dyDescent="0.2"/>
    <row r="128" ht="14.25" customHeight="1" x14ac:dyDescent="0.2"/>
    <row r="129" ht="14.25" customHeight="1" x14ac:dyDescent="0.2"/>
    <row r="130" ht="14.25" customHeight="1" x14ac:dyDescent="0.2"/>
    <row r="131" ht="14.25" customHeight="1" x14ac:dyDescent="0.2"/>
    <row r="132" ht="14.25" customHeight="1" x14ac:dyDescent="0.2"/>
    <row r="133" ht="14.25" customHeight="1" x14ac:dyDescent="0.2"/>
    <row r="134" ht="14.25" customHeight="1" x14ac:dyDescent="0.2"/>
    <row r="135" ht="14.25" customHeight="1" x14ac:dyDescent="0.2"/>
    <row r="136" ht="14.25" customHeight="1" x14ac:dyDescent="0.2"/>
    <row r="137" ht="14.25" customHeight="1" x14ac:dyDescent="0.2"/>
    <row r="138" ht="14.25" customHeight="1" x14ac:dyDescent="0.2"/>
    <row r="139" ht="14.25" customHeight="1" x14ac:dyDescent="0.2"/>
    <row r="140" ht="14.25" customHeight="1" x14ac:dyDescent="0.2"/>
    <row r="141" ht="14.25" customHeight="1" x14ac:dyDescent="0.2"/>
    <row r="142" ht="14.25" customHeight="1" x14ac:dyDescent="0.2"/>
    <row r="143" ht="14.25" customHeight="1" x14ac:dyDescent="0.2"/>
    <row r="144" ht="14.25" customHeight="1" x14ac:dyDescent="0.2"/>
    <row r="145" ht="14.25" customHeight="1" x14ac:dyDescent="0.2"/>
    <row r="146" ht="14.25" customHeight="1" x14ac:dyDescent="0.2"/>
    <row r="147" ht="14.25" customHeight="1" x14ac:dyDescent="0.2"/>
    <row r="148" ht="14.25" customHeight="1" x14ac:dyDescent="0.2"/>
    <row r="149" ht="14.25" customHeight="1" x14ac:dyDescent="0.2"/>
    <row r="150" ht="14.25" customHeight="1" x14ac:dyDescent="0.2"/>
    <row r="151" ht="14.25" customHeight="1" x14ac:dyDescent="0.2"/>
    <row r="152" ht="14.25" customHeight="1" x14ac:dyDescent="0.2"/>
    <row r="153" ht="14.25" customHeight="1" x14ac:dyDescent="0.2"/>
    <row r="154" ht="14.25" customHeight="1" x14ac:dyDescent="0.2"/>
    <row r="155" ht="14.25" customHeight="1" x14ac:dyDescent="0.2"/>
    <row r="156" ht="14.25" customHeight="1" x14ac:dyDescent="0.2"/>
    <row r="157" ht="14.25" customHeight="1" x14ac:dyDescent="0.2"/>
    <row r="158" ht="14.25" customHeight="1" x14ac:dyDescent="0.2"/>
    <row r="159" ht="14.25" customHeight="1" x14ac:dyDescent="0.2"/>
    <row r="160" ht="14.25" customHeight="1" x14ac:dyDescent="0.2"/>
    <row r="161" ht="14.25" customHeight="1" x14ac:dyDescent="0.2"/>
    <row r="162" ht="14.25" customHeight="1" x14ac:dyDescent="0.2"/>
    <row r="163" ht="14.25" customHeight="1" x14ac:dyDescent="0.2"/>
    <row r="164" ht="14.25" customHeight="1" x14ac:dyDescent="0.2"/>
    <row r="165" ht="14.25" customHeight="1" x14ac:dyDescent="0.2"/>
    <row r="166" ht="14.25" customHeight="1" x14ac:dyDescent="0.2"/>
    <row r="167" ht="14.25" customHeight="1" x14ac:dyDescent="0.2"/>
    <row r="168" ht="14.25" customHeight="1" x14ac:dyDescent="0.2"/>
    <row r="169" ht="14.25" customHeight="1" x14ac:dyDescent="0.2"/>
    <row r="170" ht="14.25" customHeight="1" x14ac:dyDescent="0.2"/>
    <row r="171" ht="14.25" customHeight="1" x14ac:dyDescent="0.2"/>
    <row r="172" ht="14.25" customHeight="1" x14ac:dyDescent="0.2"/>
    <row r="173" ht="14.25" customHeight="1" x14ac:dyDescent="0.2"/>
    <row r="174" ht="14.25" customHeight="1" x14ac:dyDescent="0.2"/>
    <row r="175" ht="14.25" customHeight="1" x14ac:dyDescent="0.2"/>
    <row r="176" ht="14.25" customHeight="1" x14ac:dyDescent="0.2"/>
    <row r="177" ht="14.25" customHeight="1" x14ac:dyDescent="0.2"/>
    <row r="178" ht="14.25" customHeight="1" x14ac:dyDescent="0.2"/>
    <row r="179" ht="14.25" customHeight="1" x14ac:dyDescent="0.2"/>
    <row r="180" ht="14.25" customHeight="1" x14ac:dyDescent="0.2"/>
    <row r="181" ht="14.25" customHeight="1" x14ac:dyDescent="0.2"/>
    <row r="182" ht="14.25" customHeight="1" x14ac:dyDescent="0.2"/>
    <row r="183" ht="14.25" customHeight="1" x14ac:dyDescent="0.2"/>
    <row r="184" ht="14.25" customHeight="1" x14ac:dyDescent="0.2"/>
    <row r="185" ht="14.25" customHeight="1" x14ac:dyDescent="0.2"/>
    <row r="186" ht="14.25" customHeight="1" x14ac:dyDescent="0.2"/>
    <row r="187" ht="14.25" customHeight="1" x14ac:dyDescent="0.2"/>
    <row r="188" ht="14.25" customHeight="1" x14ac:dyDescent="0.2"/>
    <row r="189" ht="14.25" customHeight="1" x14ac:dyDescent="0.2"/>
    <row r="190" ht="14.25" customHeight="1" x14ac:dyDescent="0.2"/>
    <row r="191" ht="14.25" customHeight="1" x14ac:dyDescent="0.2"/>
    <row r="192" ht="14.25" customHeight="1" x14ac:dyDescent="0.2"/>
    <row r="193" ht="14.25" customHeight="1" x14ac:dyDescent="0.2"/>
    <row r="194" ht="14.25" customHeight="1" x14ac:dyDescent="0.2"/>
    <row r="195" ht="14.25" customHeight="1" x14ac:dyDescent="0.2"/>
    <row r="196" ht="14.25" customHeight="1" x14ac:dyDescent="0.2"/>
    <row r="197" ht="14.25" customHeight="1" x14ac:dyDescent="0.2"/>
    <row r="198" ht="14.25" customHeight="1" x14ac:dyDescent="0.2"/>
    <row r="199" ht="14.25" customHeight="1" x14ac:dyDescent="0.2"/>
    <row r="200" ht="14.25" customHeight="1" x14ac:dyDescent="0.2"/>
    <row r="201" ht="14.25" customHeight="1" x14ac:dyDescent="0.2"/>
    <row r="202" ht="14.25" customHeight="1" x14ac:dyDescent="0.2"/>
    <row r="203" ht="14.25" customHeight="1" x14ac:dyDescent="0.2"/>
    <row r="204" ht="14.25" customHeight="1" x14ac:dyDescent="0.2"/>
    <row r="205" ht="14.25" customHeight="1" x14ac:dyDescent="0.2"/>
    <row r="206" ht="14.25" customHeight="1" x14ac:dyDescent="0.2"/>
    <row r="207" ht="14.25" customHeight="1" x14ac:dyDescent="0.2"/>
    <row r="208" ht="14.25" customHeight="1" x14ac:dyDescent="0.2"/>
    <row r="209" ht="14.25" customHeight="1" x14ac:dyDescent="0.2"/>
    <row r="210" ht="14.25" customHeight="1" x14ac:dyDescent="0.2"/>
    <row r="211" ht="14.25" customHeight="1" x14ac:dyDescent="0.2"/>
    <row r="212" ht="14.25" customHeight="1" x14ac:dyDescent="0.2"/>
    <row r="213" ht="14.25" customHeight="1" x14ac:dyDescent="0.2"/>
    <row r="214" ht="14.25" customHeight="1" x14ac:dyDescent="0.2"/>
    <row r="215" ht="14.25" customHeight="1" x14ac:dyDescent="0.2"/>
    <row r="216" ht="14.25" customHeight="1" x14ac:dyDescent="0.2"/>
    <row r="217" ht="14.25" customHeight="1" x14ac:dyDescent="0.2"/>
    <row r="218" ht="14.25" customHeight="1" x14ac:dyDescent="0.2"/>
    <row r="219" ht="14.25" customHeight="1" x14ac:dyDescent="0.2"/>
    <row r="220" ht="14.25" customHeight="1" x14ac:dyDescent="0.2"/>
    <row r="221" ht="14.25" customHeight="1" x14ac:dyDescent="0.2"/>
    <row r="222" ht="14.25" customHeight="1" x14ac:dyDescent="0.2"/>
    <row r="223" ht="14.25" customHeight="1" x14ac:dyDescent="0.2"/>
    <row r="224" ht="14.25" customHeight="1" x14ac:dyDescent="0.2"/>
    <row r="225" ht="14.25" customHeight="1" x14ac:dyDescent="0.2"/>
    <row r="226" ht="14.25" customHeight="1" x14ac:dyDescent="0.2"/>
    <row r="227" ht="14.25" customHeight="1" x14ac:dyDescent="0.2"/>
    <row r="228" ht="14.25" customHeight="1" x14ac:dyDescent="0.2"/>
    <row r="229" ht="14.25" customHeight="1" x14ac:dyDescent="0.2"/>
    <row r="230" ht="14.25" customHeight="1" x14ac:dyDescent="0.2"/>
    <row r="231" ht="14.25" customHeight="1" x14ac:dyDescent="0.2"/>
    <row r="232" ht="14.25" customHeight="1" x14ac:dyDescent="0.2"/>
    <row r="233" ht="14.25" customHeight="1" x14ac:dyDescent="0.2"/>
    <row r="234" ht="14.25" customHeight="1" x14ac:dyDescent="0.2"/>
    <row r="235" ht="14.25" customHeight="1" x14ac:dyDescent="0.2"/>
    <row r="236" ht="14.25" customHeight="1" x14ac:dyDescent="0.2"/>
    <row r="237" ht="14.25" customHeight="1" x14ac:dyDescent="0.2"/>
    <row r="238" ht="14.25" customHeight="1" x14ac:dyDescent="0.2"/>
    <row r="239" ht="14.25" customHeight="1" x14ac:dyDescent="0.2"/>
    <row r="240" ht="14.25" customHeight="1" x14ac:dyDescent="0.2"/>
    <row r="241" ht="14.25" customHeight="1" x14ac:dyDescent="0.2"/>
    <row r="242" ht="14.25" customHeight="1" x14ac:dyDescent="0.2"/>
    <row r="243" ht="14.25" customHeight="1" x14ac:dyDescent="0.2"/>
    <row r="244" ht="14.25" customHeight="1" x14ac:dyDescent="0.2"/>
    <row r="245" ht="14.25" customHeight="1" x14ac:dyDescent="0.2"/>
    <row r="246" ht="14.25" customHeight="1" x14ac:dyDescent="0.2"/>
    <row r="247" ht="14.25" customHeight="1" x14ac:dyDescent="0.2"/>
    <row r="248" ht="14.25" customHeight="1" x14ac:dyDescent="0.2"/>
    <row r="249" ht="14.25" customHeight="1" x14ac:dyDescent="0.2"/>
    <row r="250" ht="14.25" customHeight="1" x14ac:dyDescent="0.2"/>
    <row r="251" ht="14.25" customHeight="1" x14ac:dyDescent="0.2"/>
    <row r="252" ht="14.25" customHeight="1" x14ac:dyDescent="0.2"/>
    <row r="253" ht="14.25" customHeight="1" x14ac:dyDescent="0.2"/>
    <row r="254" ht="14.25" customHeight="1" x14ac:dyDescent="0.2"/>
    <row r="255" ht="14.25" customHeight="1" x14ac:dyDescent="0.2"/>
    <row r="256" ht="14.25" customHeight="1" x14ac:dyDescent="0.2"/>
    <row r="257" ht="14.25" customHeight="1" x14ac:dyDescent="0.2"/>
    <row r="258" ht="14.25" customHeight="1" x14ac:dyDescent="0.2"/>
    <row r="259" ht="14.25" customHeight="1" x14ac:dyDescent="0.2"/>
    <row r="260" ht="14.25" customHeight="1" x14ac:dyDescent="0.2"/>
    <row r="261" ht="14.25" customHeight="1" x14ac:dyDescent="0.2"/>
    <row r="262" ht="14.25" customHeight="1" x14ac:dyDescent="0.2"/>
    <row r="263" ht="14.25" customHeight="1" x14ac:dyDescent="0.2"/>
    <row r="264" ht="14.25" customHeight="1" x14ac:dyDescent="0.2"/>
    <row r="265" ht="14.25" customHeight="1" x14ac:dyDescent="0.2"/>
    <row r="266" ht="14.25" customHeight="1" x14ac:dyDescent="0.2"/>
    <row r="267" ht="14.25" customHeight="1" x14ac:dyDescent="0.2"/>
    <row r="268" ht="14.25" customHeight="1" x14ac:dyDescent="0.2"/>
    <row r="269" ht="14.25" customHeight="1" x14ac:dyDescent="0.2"/>
    <row r="270" ht="14.25" customHeight="1" x14ac:dyDescent="0.2"/>
    <row r="271" ht="14.25" customHeight="1" x14ac:dyDescent="0.2"/>
    <row r="272" ht="14.25" customHeight="1" x14ac:dyDescent="0.2"/>
    <row r="273" ht="14.25" customHeight="1" x14ac:dyDescent="0.2"/>
    <row r="274" ht="14.25" customHeight="1" x14ac:dyDescent="0.2"/>
    <row r="275" ht="14.25" customHeight="1" x14ac:dyDescent="0.2"/>
    <row r="276" ht="14.25" customHeight="1" x14ac:dyDescent="0.2"/>
    <row r="277" ht="14.25" customHeight="1" x14ac:dyDescent="0.2"/>
    <row r="278" ht="14.25" customHeight="1" x14ac:dyDescent="0.2"/>
    <row r="279" ht="14.25" customHeight="1" x14ac:dyDescent="0.2"/>
    <row r="280" ht="14.25" customHeight="1" x14ac:dyDescent="0.2"/>
    <row r="281" ht="14.25" customHeight="1" x14ac:dyDescent="0.2"/>
    <row r="282" ht="14.25" customHeight="1" x14ac:dyDescent="0.2"/>
    <row r="283" ht="14.25" customHeight="1" x14ac:dyDescent="0.2"/>
    <row r="284" ht="14.25" customHeight="1" x14ac:dyDescent="0.2"/>
    <row r="285" ht="14.25" customHeight="1" x14ac:dyDescent="0.2"/>
    <row r="286" ht="14.25" customHeight="1" x14ac:dyDescent="0.2"/>
    <row r="287" ht="14.25" customHeight="1" x14ac:dyDescent="0.2"/>
    <row r="288" ht="14.25" customHeight="1" x14ac:dyDescent="0.2"/>
    <row r="289" ht="14.25" customHeight="1" x14ac:dyDescent="0.2"/>
    <row r="290" ht="14.25" customHeight="1" x14ac:dyDescent="0.2"/>
    <row r="291" ht="14.25" customHeight="1" x14ac:dyDescent="0.2"/>
    <row r="292" ht="14.25" customHeight="1" x14ac:dyDescent="0.2"/>
    <row r="293" ht="14.25" customHeight="1" x14ac:dyDescent="0.2"/>
    <row r="294" ht="14.25" customHeight="1" x14ac:dyDescent="0.2"/>
    <row r="295" ht="14.25" customHeight="1" x14ac:dyDescent="0.2"/>
    <row r="296" ht="14.25" customHeight="1" x14ac:dyDescent="0.2"/>
    <row r="297" ht="14.25" customHeight="1" x14ac:dyDescent="0.2"/>
    <row r="298" ht="14.25" customHeight="1" x14ac:dyDescent="0.2"/>
    <row r="299" ht="14.25" customHeight="1" x14ac:dyDescent="0.2"/>
    <row r="300" ht="14.25" customHeight="1" x14ac:dyDescent="0.2"/>
    <row r="301" ht="14.25" customHeight="1" x14ac:dyDescent="0.2"/>
    <row r="302" ht="14.25" customHeight="1" x14ac:dyDescent="0.2"/>
    <row r="303" ht="14.25" customHeight="1" x14ac:dyDescent="0.2"/>
    <row r="304" ht="14.25" customHeight="1" x14ac:dyDescent="0.2"/>
    <row r="305" ht="14.25" customHeight="1" x14ac:dyDescent="0.2"/>
    <row r="306" ht="14.25" customHeight="1" x14ac:dyDescent="0.2"/>
    <row r="307" ht="14.25" customHeight="1" x14ac:dyDescent="0.2"/>
    <row r="308" ht="14.25" customHeight="1" x14ac:dyDescent="0.2"/>
    <row r="309" ht="14.25" customHeight="1" x14ac:dyDescent="0.2"/>
    <row r="310" ht="14.25" customHeight="1" x14ac:dyDescent="0.2"/>
    <row r="311" ht="14.25" customHeight="1" x14ac:dyDescent="0.2"/>
    <row r="312" ht="14.25" customHeight="1" x14ac:dyDescent="0.2"/>
    <row r="313" ht="14.25" customHeight="1" x14ac:dyDescent="0.2"/>
    <row r="314" ht="14.25" customHeight="1" x14ac:dyDescent="0.2"/>
    <row r="315" ht="14.25" customHeight="1" x14ac:dyDescent="0.2"/>
    <row r="316" ht="14.25" customHeight="1" x14ac:dyDescent="0.2"/>
    <row r="317" ht="14.25" customHeight="1" x14ac:dyDescent="0.2"/>
    <row r="318" ht="14.25" customHeight="1" x14ac:dyDescent="0.2"/>
    <row r="319" ht="14.25" customHeight="1" x14ac:dyDescent="0.2"/>
    <row r="320" ht="14.25" customHeight="1" x14ac:dyDescent="0.2"/>
    <row r="321" ht="14.25" customHeight="1" x14ac:dyDescent="0.2"/>
    <row r="322" ht="14.25" customHeight="1" x14ac:dyDescent="0.2"/>
    <row r="323" ht="14.25" customHeight="1" x14ac:dyDescent="0.2"/>
    <row r="324" ht="14.25" customHeight="1" x14ac:dyDescent="0.2"/>
    <row r="325" ht="14.25" customHeight="1" x14ac:dyDescent="0.2"/>
    <row r="326" ht="14.25" customHeight="1" x14ac:dyDescent="0.2"/>
    <row r="327" ht="14.25" customHeight="1" x14ac:dyDescent="0.2"/>
    <row r="328" ht="14.25" customHeight="1" x14ac:dyDescent="0.2"/>
    <row r="329" ht="14.25" customHeight="1" x14ac:dyDescent="0.2"/>
    <row r="330" ht="14.25" customHeight="1" x14ac:dyDescent="0.2"/>
    <row r="331" ht="14.25" customHeight="1" x14ac:dyDescent="0.2"/>
    <row r="332" ht="14.25" customHeight="1" x14ac:dyDescent="0.2"/>
    <row r="333" ht="14.25" customHeight="1" x14ac:dyDescent="0.2"/>
    <row r="334" ht="14.25" customHeight="1" x14ac:dyDescent="0.2"/>
    <row r="335" ht="14.25" customHeight="1" x14ac:dyDescent="0.2"/>
    <row r="336" ht="14.25" customHeight="1" x14ac:dyDescent="0.2"/>
    <row r="337" ht="14.25" customHeight="1" x14ac:dyDescent="0.2"/>
    <row r="338" ht="14.25" customHeight="1" x14ac:dyDescent="0.2"/>
    <row r="339" ht="14.25" customHeight="1" x14ac:dyDescent="0.2"/>
    <row r="340" ht="14.25" customHeight="1" x14ac:dyDescent="0.2"/>
    <row r="341" ht="14.25" customHeight="1" x14ac:dyDescent="0.2"/>
    <row r="342" ht="14.25" customHeight="1" x14ac:dyDescent="0.2"/>
    <row r="343" ht="14.25" customHeight="1" x14ac:dyDescent="0.2"/>
    <row r="344" ht="14.25" customHeight="1" x14ac:dyDescent="0.2"/>
    <row r="345" ht="14.25" customHeight="1" x14ac:dyDescent="0.2"/>
    <row r="346" ht="14.25" customHeight="1" x14ac:dyDescent="0.2"/>
    <row r="347" ht="14.25" customHeight="1" x14ac:dyDescent="0.2"/>
    <row r="348" ht="14.25" customHeight="1" x14ac:dyDescent="0.2"/>
    <row r="349" ht="14.25" customHeight="1" x14ac:dyDescent="0.2"/>
    <row r="350" ht="14.25" customHeight="1" x14ac:dyDescent="0.2"/>
    <row r="351" ht="14.25" customHeight="1" x14ac:dyDescent="0.2"/>
    <row r="352" ht="14.25" customHeight="1" x14ac:dyDescent="0.2"/>
    <row r="353" ht="14.25" customHeight="1" x14ac:dyDescent="0.2"/>
    <row r="354" ht="14.25" customHeight="1" x14ac:dyDescent="0.2"/>
    <row r="355" ht="14.25" customHeight="1" x14ac:dyDescent="0.2"/>
    <row r="356" ht="14.25" customHeight="1" x14ac:dyDescent="0.2"/>
    <row r="357" ht="14.25" customHeight="1" x14ac:dyDescent="0.2"/>
    <row r="358" ht="14.25" customHeight="1" x14ac:dyDescent="0.2"/>
    <row r="359" ht="14.25" customHeight="1" x14ac:dyDescent="0.2"/>
    <row r="360" ht="14.25" customHeight="1" x14ac:dyDescent="0.2"/>
    <row r="361" ht="14.25" customHeight="1" x14ac:dyDescent="0.2"/>
    <row r="362" ht="14.25" customHeight="1" x14ac:dyDescent="0.2"/>
    <row r="363" ht="14.25" customHeight="1" x14ac:dyDescent="0.2"/>
    <row r="364" ht="14.25" customHeight="1" x14ac:dyDescent="0.2"/>
    <row r="365" ht="14.25" customHeight="1" x14ac:dyDescent="0.2"/>
    <row r="366" ht="14.25" customHeight="1" x14ac:dyDescent="0.2"/>
    <row r="367" ht="14.25" customHeight="1" x14ac:dyDescent="0.2"/>
    <row r="368" ht="14.25" customHeight="1" x14ac:dyDescent="0.2"/>
    <row r="369" ht="14.25" customHeight="1" x14ac:dyDescent="0.2"/>
    <row r="370" ht="14.25" customHeight="1" x14ac:dyDescent="0.2"/>
    <row r="371" ht="14.25" customHeight="1" x14ac:dyDescent="0.2"/>
    <row r="372" ht="14.25" customHeight="1" x14ac:dyDescent="0.2"/>
    <row r="373" ht="14.25" customHeight="1" x14ac:dyDescent="0.2"/>
    <row r="374" ht="14.25" customHeight="1" x14ac:dyDescent="0.2"/>
    <row r="375" ht="14.25" customHeight="1" x14ac:dyDescent="0.2"/>
    <row r="376" ht="14.25" customHeight="1" x14ac:dyDescent="0.2"/>
    <row r="377" ht="14.25" customHeight="1" x14ac:dyDescent="0.2"/>
    <row r="378" ht="14.25" customHeight="1" x14ac:dyDescent="0.2"/>
    <row r="379" ht="14.25" customHeight="1" x14ac:dyDescent="0.2"/>
    <row r="380" ht="14.25" customHeight="1" x14ac:dyDescent="0.2"/>
    <row r="381" ht="14.25" customHeight="1" x14ac:dyDescent="0.2"/>
    <row r="382" ht="14.25" customHeight="1" x14ac:dyDescent="0.2"/>
    <row r="383" ht="14.25" customHeight="1" x14ac:dyDescent="0.2"/>
    <row r="384" ht="14.25" customHeight="1" x14ac:dyDescent="0.2"/>
    <row r="385" ht="14.25" customHeight="1" x14ac:dyDescent="0.2"/>
    <row r="386" ht="14.25" customHeight="1" x14ac:dyDescent="0.2"/>
    <row r="387" ht="14.25" customHeight="1" x14ac:dyDescent="0.2"/>
    <row r="388" ht="14.25" customHeight="1" x14ac:dyDescent="0.2"/>
    <row r="389" ht="14.25" customHeight="1" x14ac:dyDescent="0.2"/>
    <row r="390" ht="14.25" customHeight="1" x14ac:dyDescent="0.2"/>
    <row r="391" ht="14.25" customHeight="1" x14ac:dyDescent="0.2"/>
    <row r="392" ht="14.25" customHeight="1" x14ac:dyDescent="0.2"/>
    <row r="393" ht="14.25" customHeight="1" x14ac:dyDescent="0.2"/>
    <row r="394" ht="14.25" customHeight="1" x14ac:dyDescent="0.2"/>
    <row r="395" ht="14.25" customHeight="1" x14ac:dyDescent="0.2"/>
    <row r="396" ht="14.25" customHeight="1" x14ac:dyDescent="0.2"/>
    <row r="397" ht="14.25" customHeight="1" x14ac:dyDescent="0.2"/>
    <row r="398" ht="14.25" customHeight="1" x14ac:dyDescent="0.2"/>
    <row r="399" ht="14.25" customHeight="1" x14ac:dyDescent="0.2"/>
    <row r="400" ht="14.25" customHeight="1" x14ac:dyDescent="0.2"/>
    <row r="401" ht="14.25" customHeight="1" x14ac:dyDescent="0.2"/>
    <row r="402" ht="14.25" customHeight="1" x14ac:dyDescent="0.2"/>
    <row r="403" ht="14.25" customHeight="1" x14ac:dyDescent="0.2"/>
    <row r="404" ht="14.25" customHeight="1" x14ac:dyDescent="0.2"/>
    <row r="405" ht="14.25" customHeight="1" x14ac:dyDescent="0.2"/>
    <row r="406" ht="14.25" customHeight="1" x14ac:dyDescent="0.2"/>
    <row r="407" ht="14.25" customHeight="1" x14ac:dyDescent="0.2"/>
    <row r="408" ht="14.25" customHeight="1" x14ac:dyDescent="0.2"/>
    <row r="409" ht="14.25" customHeight="1" x14ac:dyDescent="0.2"/>
    <row r="410" ht="14.25" customHeight="1" x14ac:dyDescent="0.2"/>
    <row r="411" ht="14.25" customHeight="1" x14ac:dyDescent="0.2"/>
    <row r="412" ht="14.25" customHeight="1" x14ac:dyDescent="0.2"/>
    <row r="413" ht="14.25" customHeight="1" x14ac:dyDescent="0.2"/>
    <row r="414" ht="14.25" customHeight="1" x14ac:dyDescent="0.2"/>
    <row r="415" ht="14.25" customHeight="1" x14ac:dyDescent="0.2"/>
    <row r="416" ht="14.25" customHeight="1" x14ac:dyDescent="0.2"/>
    <row r="417" ht="14.25" customHeight="1" x14ac:dyDescent="0.2"/>
    <row r="418" ht="14.25" customHeight="1" x14ac:dyDescent="0.2"/>
    <row r="419" ht="14.25" customHeight="1" x14ac:dyDescent="0.2"/>
    <row r="420" ht="14.25" customHeight="1" x14ac:dyDescent="0.2"/>
    <row r="421" ht="14.25" customHeight="1" x14ac:dyDescent="0.2"/>
    <row r="422" ht="14.25" customHeight="1" x14ac:dyDescent="0.2"/>
    <row r="423" ht="14.25" customHeight="1" x14ac:dyDescent="0.2"/>
    <row r="424" ht="14.25" customHeight="1" x14ac:dyDescent="0.2"/>
    <row r="425" ht="14.25" customHeight="1" x14ac:dyDescent="0.2"/>
    <row r="426" ht="14.25" customHeight="1" x14ac:dyDescent="0.2"/>
    <row r="427" ht="14.25" customHeight="1" x14ac:dyDescent="0.2"/>
    <row r="428" ht="14.25" customHeight="1" x14ac:dyDescent="0.2"/>
    <row r="429" ht="14.25" customHeight="1" x14ac:dyDescent="0.2"/>
    <row r="430" ht="14.25" customHeight="1" x14ac:dyDescent="0.2"/>
    <row r="431" ht="14.25" customHeight="1" x14ac:dyDescent="0.2"/>
    <row r="432" ht="14.25" customHeight="1" x14ac:dyDescent="0.2"/>
    <row r="433" ht="14.25" customHeight="1" x14ac:dyDescent="0.2"/>
    <row r="434" ht="14.25" customHeight="1" x14ac:dyDescent="0.2"/>
    <row r="435" ht="14.25" customHeight="1" x14ac:dyDescent="0.2"/>
    <row r="436" ht="14.25" customHeight="1" x14ac:dyDescent="0.2"/>
    <row r="437" ht="14.25" customHeight="1" x14ac:dyDescent="0.2"/>
    <row r="438" ht="14.25" customHeight="1" x14ac:dyDescent="0.2"/>
    <row r="439" ht="14.25" customHeight="1" x14ac:dyDescent="0.2"/>
    <row r="440" ht="14.25" customHeight="1" x14ac:dyDescent="0.2"/>
    <row r="441" ht="14.25" customHeight="1" x14ac:dyDescent="0.2"/>
    <row r="442" ht="14.25" customHeight="1" x14ac:dyDescent="0.2"/>
    <row r="443" ht="14.25" customHeight="1" x14ac:dyDescent="0.2"/>
    <row r="444" ht="14.25" customHeight="1" x14ac:dyDescent="0.2"/>
    <row r="445" ht="14.25" customHeight="1" x14ac:dyDescent="0.2"/>
    <row r="446" ht="14.25" customHeight="1" x14ac:dyDescent="0.2"/>
    <row r="447" ht="14.25" customHeight="1" x14ac:dyDescent="0.2"/>
    <row r="448" ht="14.25" customHeight="1" x14ac:dyDescent="0.2"/>
    <row r="449" ht="14.25" customHeight="1" x14ac:dyDescent="0.2"/>
    <row r="450" ht="14.25" customHeight="1" x14ac:dyDescent="0.2"/>
    <row r="451" ht="14.25" customHeight="1" x14ac:dyDescent="0.2"/>
    <row r="452" ht="14.25" customHeight="1" x14ac:dyDescent="0.2"/>
    <row r="453" ht="14.25" customHeight="1" x14ac:dyDescent="0.2"/>
    <row r="454" ht="14.25" customHeight="1" x14ac:dyDescent="0.2"/>
    <row r="455" ht="14.25" customHeight="1" x14ac:dyDescent="0.2"/>
    <row r="456" ht="14.25" customHeight="1" x14ac:dyDescent="0.2"/>
    <row r="457" ht="14.25" customHeight="1" x14ac:dyDescent="0.2"/>
    <row r="458" ht="14.25" customHeight="1" x14ac:dyDescent="0.2"/>
    <row r="459" ht="14.25" customHeight="1" x14ac:dyDescent="0.2"/>
    <row r="460" ht="14.25" customHeight="1" x14ac:dyDescent="0.2"/>
    <row r="461" ht="14.25" customHeight="1" x14ac:dyDescent="0.2"/>
    <row r="462" ht="14.25" customHeight="1" x14ac:dyDescent="0.2"/>
    <row r="463" ht="14.25" customHeight="1" x14ac:dyDescent="0.2"/>
    <row r="464" ht="14.25" customHeight="1" x14ac:dyDescent="0.2"/>
    <row r="465" ht="14.25" customHeight="1" x14ac:dyDescent="0.2"/>
    <row r="466" ht="14.25" customHeight="1" x14ac:dyDescent="0.2"/>
    <row r="467" ht="14.25" customHeight="1" x14ac:dyDescent="0.2"/>
    <row r="468" ht="14.25" customHeight="1" x14ac:dyDescent="0.2"/>
    <row r="469" ht="14.25" customHeight="1" x14ac:dyDescent="0.2"/>
    <row r="470" ht="14.25" customHeight="1" x14ac:dyDescent="0.2"/>
    <row r="471" ht="14.25" customHeight="1" x14ac:dyDescent="0.2"/>
    <row r="472" ht="14.25" customHeight="1" x14ac:dyDescent="0.2"/>
    <row r="473" ht="14.25" customHeight="1" x14ac:dyDescent="0.2"/>
    <row r="474" ht="14.25" customHeight="1" x14ac:dyDescent="0.2"/>
    <row r="475" ht="14.25" customHeight="1" x14ac:dyDescent="0.2"/>
    <row r="476" ht="14.25" customHeight="1" x14ac:dyDescent="0.2"/>
    <row r="477" ht="14.25" customHeight="1" x14ac:dyDescent="0.2"/>
    <row r="478" ht="14.25" customHeight="1" x14ac:dyDescent="0.2"/>
    <row r="479" ht="14.25" customHeight="1" x14ac:dyDescent="0.2"/>
    <row r="480" ht="14.25" customHeight="1" x14ac:dyDescent="0.2"/>
    <row r="481" ht="14.25" customHeight="1" x14ac:dyDescent="0.2"/>
    <row r="482" ht="14.25" customHeight="1" x14ac:dyDescent="0.2"/>
    <row r="483" ht="14.25" customHeight="1" x14ac:dyDescent="0.2"/>
    <row r="484" ht="14.25" customHeight="1" x14ac:dyDescent="0.2"/>
    <row r="485" ht="14.25" customHeight="1" x14ac:dyDescent="0.2"/>
    <row r="486" ht="14.25" customHeight="1" x14ac:dyDescent="0.2"/>
    <row r="487" ht="14.25" customHeight="1" x14ac:dyDescent="0.2"/>
    <row r="488" ht="14.25" customHeight="1" x14ac:dyDescent="0.2"/>
    <row r="489" ht="14.25" customHeight="1" x14ac:dyDescent="0.2"/>
    <row r="490" ht="14.25" customHeight="1" x14ac:dyDescent="0.2"/>
    <row r="491" ht="14.25" customHeight="1" x14ac:dyDescent="0.2"/>
    <row r="492" ht="14.25" customHeight="1" x14ac:dyDescent="0.2"/>
    <row r="493" ht="14.25" customHeight="1" x14ac:dyDescent="0.2"/>
    <row r="494" ht="14.25" customHeight="1" x14ac:dyDescent="0.2"/>
    <row r="495" ht="14.25" customHeight="1" x14ac:dyDescent="0.2"/>
    <row r="496" ht="14.25" customHeight="1" x14ac:dyDescent="0.2"/>
    <row r="497" ht="14.25" customHeight="1" x14ac:dyDescent="0.2"/>
    <row r="498" ht="14.25" customHeight="1" x14ac:dyDescent="0.2"/>
    <row r="499" ht="14.25" customHeight="1" x14ac:dyDescent="0.2"/>
    <row r="500" ht="14.25" customHeight="1" x14ac:dyDescent="0.2"/>
    <row r="501" ht="14.25" customHeight="1" x14ac:dyDescent="0.2"/>
    <row r="502" ht="14.25" customHeight="1" x14ac:dyDescent="0.2"/>
    <row r="503" ht="14.25" customHeight="1" x14ac:dyDescent="0.2"/>
    <row r="504" ht="14.25" customHeight="1" x14ac:dyDescent="0.2"/>
    <row r="505" ht="14.25" customHeight="1" x14ac:dyDescent="0.2"/>
    <row r="506" ht="14.25" customHeight="1" x14ac:dyDescent="0.2"/>
    <row r="507" ht="14.25" customHeight="1" x14ac:dyDescent="0.2"/>
    <row r="508" ht="14.25" customHeight="1" x14ac:dyDescent="0.2"/>
    <row r="509" ht="14.25" customHeight="1" x14ac:dyDescent="0.2"/>
    <row r="510" ht="14.25" customHeight="1" x14ac:dyDescent="0.2"/>
    <row r="511" ht="14.25" customHeight="1" x14ac:dyDescent="0.2"/>
    <row r="512" ht="14.25" customHeight="1" x14ac:dyDescent="0.2"/>
    <row r="513" ht="14.25" customHeight="1" x14ac:dyDescent="0.2"/>
    <row r="514" ht="14.25" customHeight="1" x14ac:dyDescent="0.2"/>
    <row r="515" ht="14.25" customHeight="1" x14ac:dyDescent="0.2"/>
    <row r="516" ht="14.25" customHeight="1" x14ac:dyDescent="0.2"/>
    <row r="517" ht="14.25" customHeight="1" x14ac:dyDescent="0.2"/>
    <row r="518" ht="14.25" customHeight="1" x14ac:dyDescent="0.2"/>
    <row r="519" ht="14.25" customHeight="1" x14ac:dyDescent="0.2"/>
    <row r="520" ht="14.25" customHeight="1" x14ac:dyDescent="0.2"/>
    <row r="521" ht="14.25" customHeight="1" x14ac:dyDescent="0.2"/>
    <row r="522" ht="14.25" customHeight="1" x14ac:dyDescent="0.2"/>
    <row r="523" ht="14.25" customHeight="1" x14ac:dyDescent="0.2"/>
    <row r="524" ht="14.25" customHeight="1" x14ac:dyDescent="0.2"/>
    <row r="525" ht="14.25" customHeight="1" x14ac:dyDescent="0.2"/>
    <row r="526" ht="14.25" customHeight="1" x14ac:dyDescent="0.2"/>
    <row r="527" ht="14.25" customHeight="1" x14ac:dyDescent="0.2"/>
    <row r="528" ht="14.25" customHeight="1" x14ac:dyDescent="0.2"/>
    <row r="529" ht="14.25" customHeight="1" x14ac:dyDescent="0.2"/>
    <row r="530" ht="14.25" customHeight="1" x14ac:dyDescent="0.2"/>
    <row r="531" ht="14.25" customHeight="1" x14ac:dyDescent="0.2"/>
    <row r="532" ht="14.25" customHeight="1" x14ac:dyDescent="0.2"/>
    <row r="533" ht="14.25" customHeight="1" x14ac:dyDescent="0.2"/>
    <row r="534" ht="14.25" customHeight="1" x14ac:dyDescent="0.2"/>
    <row r="535" ht="14.25" customHeight="1" x14ac:dyDescent="0.2"/>
    <row r="536" ht="14.25" customHeight="1" x14ac:dyDescent="0.2"/>
    <row r="537" ht="14.25" customHeight="1" x14ac:dyDescent="0.2"/>
    <row r="538" ht="14.25" customHeight="1" x14ac:dyDescent="0.2"/>
    <row r="539" ht="14.25" customHeight="1" x14ac:dyDescent="0.2"/>
    <row r="540" ht="14.25" customHeight="1" x14ac:dyDescent="0.2"/>
    <row r="541" ht="14.25" customHeight="1" x14ac:dyDescent="0.2"/>
    <row r="542" ht="14.25" customHeight="1" x14ac:dyDescent="0.2"/>
    <row r="543" ht="14.25" customHeight="1" x14ac:dyDescent="0.2"/>
    <row r="544" ht="14.25" customHeight="1" x14ac:dyDescent="0.2"/>
    <row r="545" ht="14.25" customHeight="1" x14ac:dyDescent="0.2"/>
    <row r="546" ht="14.25" customHeight="1" x14ac:dyDescent="0.2"/>
    <row r="547" ht="14.25" customHeight="1" x14ac:dyDescent="0.2"/>
    <row r="548" ht="14.25" customHeight="1" x14ac:dyDescent="0.2"/>
    <row r="549" ht="14.25" customHeight="1" x14ac:dyDescent="0.2"/>
    <row r="550" ht="14.25" customHeight="1" x14ac:dyDescent="0.2"/>
    <row r="551" ht="14.25" customHeight="1" x14ac:dyDescent="0.2"/>
    <row r="552" ht="14.25" customHeight="1" x14ac:dyDescent="0.2"/>
    <row r="553" ht="14.25" customHeight="1" x14ac:dyDescent="0.2"/>
    <row r="554" ht="14.25" customHeight="1" x14ac:dyDescent="0.2"/>
    <row r="555" ht="14.25" customHeight="1" x14ac:dyDescent="0.2"/>
    <row r="556" ht="14.25" customHeight="1" x14ac:dyDescent="0.2"/>
    <row r="557" ht="14.25" customHeight="1" x14ac:dyDescent="0.2"/>
    <row r="558" ht="14.25" customHeight="1" x14ac:dyDescent="0.2"/>
    <row r="559" ht="14.25" customHeight="1" x14ac:dyDescent="0.2"/>
    <row r="560" ht="14.25" customHeight="1" x14ac:dyDescent="0.2"/>
    <row r="561" ht="14.25" customHeight="1" x14ac:dyDescent="0.2"/>
    <row r="562" ht="14.25" customHeight="1" x14ac:dyDescent="0.2"/>
    <row r="563" ht="14.25" customHeight="1" x14ac:dyDescent="0.2"/>
    <row r="564" ht="14.25" customHeight="1" x14ac:dyDescent="0.2"/>
    <row r="565" ht="14.25" customHeight="1" x14ac:dyDescent="0.2"/>
    <row r="566" ht="14.25" customHeight="1" x14ac:dyDescent="0.2"/>
    <row r="567" ht="14.25" customHeight="1" x14ac:dyDescent="0.2"/>
    <row r="568" ht="14.25" customHeight="1" x14ac:dyDescent="0.2"/>
    <row r="569" ht="14.25" customHeight="1" x14ac:dyDescent="0.2"/>
    <row r="570" ht="14.25" customHeight="1" x14ac:dyDescent="0.2"/>
    <row r="571" ht="14.25" customHeight="1" x14ac:dyDescent="0.2"/>
    <row r="572" ht="14.25" customHeight="1" x14ac:dyDescent="0.2"/>
    <row r="573" ht="14.25" customHeight="1" x14ac:dyDescent="0.2"/>
    <row r="574" ht="14.25" customHeight="1" x14ac:dyDescent="0.2"/>
    <row r="575" ht="14.25" customHeight="1" x14ac:dyDescent="0.2"/>
    <row r="576" ht="14.25" customHeight="1" x14ac:dyDescent="0.2"/>
    <row r="577" ht="14.25" customHeight="1" x14ac:dyDescent="0.2"/>
    <row r="578" ht="14.25" customHeight="1" x14ac:dyDescent="0.2"/>
    <row r="579" ht="14.25" customHeight="1" x14ac:dyDescent="0.2"/>
    <row r="580" ht="14.25" customHeight="1" x14ac:dyDescent="0.2"/>
    <row r="581" ht="14.25" customHeight="1" x14ac:dyDescent="0.2"/>
    <row r="582" ht="14.25" customHeight="1" x14ac:dyDescent="0.2"/>
    <row r="583" ht="14.25" customHeight="1" x14ac:dyDescent="0.2"/>
    <row r="584" ht="14.25" customHeight="1" x14ac:dyDescent="0.2"/>
    <row r="585" ht="14.25" customHeight="1" x14ac:dyDescent="0.2"/>
    <row r="586" ht="14.25" customHeight="1" x14ac:dyDescent="0.2"/>
    <row r="587" ht="14.25" customHeight="1" x14ac:dyDescent="0.2"/>
    <row r="588" ht="14.25" customHeight="1" x14ac:dyDescent="0.2"/>
    <row r="589" ht="14.25" customHeight="1" x14ac:dyDescent="0.2"/>
    <row r="590" ht="14.25" customHeight="1" x14ac:dyDescent="0.2"/>
    <row r="591" ht="14.25" customHeight="1" x14ac:dyDescent="0.2"/>
    <row r="592" ht="14.25" customHeight="1" x14ac:dyDescent="0.2"/>
    <row r="593" ht="14.25" customHeight="1" x14ac:dyDescent="0.2"/>
    <row r="594" ht="14.25" customHeight="1" x14ac:dyDescent="0.2"/>
    <row r="595" ht="14.25" customHeight="1" x14ac:dyDescent="0.2"/>
    <row r="596" ht="14.25" customHeight="1" x14ac:dyDescent="0.2"/>
    <row r="597" ht="14.25" customHeight="1" x14ac:dyDescent="0.2"/>
    <row r="598" ht="14.25" customHeight="1" x14ac:dyDescent="0.2"/>
    <row r="599" ht="14.25" customHeight="1" x14ac:dyDescent="0.2"/>
    <row r="600" ht="14.25" customHeight="1" x14ac:dyDescent="0.2"/>
    <row r="601" ht="14.25" customHeight="1" x14ac:dyDescent="0.2"/>
    <row r="602" ht="14.25" customHeight="1" x14ac:dyDescent="0.2"/>
    <row r="603" ht="14.25" customHeight="1" x14ac:dyDescent="0.2"/>
    <row r="604" ht="14.25" customHeight="1" x14ac:dyDescent="0.2"/>
    <row r="605" ht="14.25" customHeight="1" x14ac:dyDescent="0.2"/>
    <row r="606" ht="14.25" customHeight="1" x14ac:dyDescent="0.2"/>
    <row r="607" ht="14.25" customHeight="1" x14ac:dyDescent="0.2"/>
    <row r="608" ht="14.25" customHeight="1" x14ac:dyDescent="0.2"/>
    <row r="609" ht="14.25" customHeight="1" x14ac:dyDescent="0.2"/>
    <row r="610" ht="14.25" customHeight="1" x14ac:dyDescent="0.2"/>
    <row r="611" ht="14.25" customHeight="1" x14ac:dyDescent="0.2"/>
    <row r="612" ht="14.25" customHeight="1" x14ac:dyDescent="0.2"/>
    <row r="613" ht="14.25" customHeight="1" x14ac:dyDescent="0.2"/>
    <row r="614" ht="14.25" customHeight="1" x14ac:dyDescent="0.2"/>
    <row r="615" ht="14.25" customHeight="1" x14ac:dyDescent="0.2"/>
    <row r="616" ht="14.25" customHeight="1" x14ac:dyDescent="0.2"/>
    <row r="617" ht="14.25" customHeight="1" x14ac:dyDescent="0.2"/>
    <row r="618" ht="14.25" customHeight="1" x14ac:dyDescent="0.2"/>
    <row r="619" ht="14.25" customHeight="1" x14ac:dyDescent="0.2"/>
    <row r="620" ht="14.25" customHeight="1" x14ac:dyDescent="0.2"/>
    <row r="621" ht="14.25" customHeight="1" x14ac:dyDescent="0.2"/>
    <row r="622" ht="14.25" customHeight="1" x14ac:dyDescent="0.2"/>
    <row r="623" ht="14.25" customHeight="1" x14ac:dyDescent="0.2"/>
    <row r="624" ht="14.25" customHeight="1" x14ac:dyDescent="0.2"/>
    <row r="625" ht="14.25" customHeight="1" x14ac:dyDescent="0.2"/>
    <row r="626" ht="14.25" customHeight="1" x14ac:dyDescent="0.2"/>
    <row r="627" ht="14.25" customHeight="1" x14ac:dyDescent="0.2"/>
    <row r="628" ht="14.25" customHeight="1" x14ac:dyDescent="0.2"/>
    <row r="629" ht="14.25" customHeight="1" x14ac:dyDescent="0.2"/>
    <row r="630" ht="14.25" customHeight="1" x14ac:dyDescent="0.2"/>
    <row r="631" ht="14.25" customHeight="1" x14ac:dyDescent="0.2"/>
    <row r="632" ht="14.25" customHeight="1" x14ac:dyDescent="0.2"/>
    <row r="633" ht="14.25" customHeight="1" x14ac:dyDescent="0.2"/>
    <row r="634" ht="14.25" customHeight="1" x14ac:dyDescent="0.2"/>
    <row r="635" ht="14.25" customHeight="1" x14ac:dyDescent="0.2"/>
    <row r="636" ht="14.25" customHeight="1" x14ac:dyDescent="0.2"/>
    <row r="637" ht="14.25" customHeight="1" x14ac:dyDescent="0.2"/>
    <row r="638" ht="14.25" customHeight="1" x14ac:dyDescent="0.2"/>
    <row r="639" ht="14.25" customHeight="1" x14ac:dyDescent="0.2"/>
    <row r="640" ht="14.25" customHeight="1" x14ac:dyDescent="0.2"/>
    <row r="641" ht="14.25" customHeight="1" x14ac:dyDescent="0.2"/>
    <row r="642" ht="14.25" customHeight="1" x14ac:dyDescent="0.2"/>
    <row r="643" ht="14.25" customHeight="1" x14ac:dyDescent="0.2"/>
    <row r="644" ht="14.25" customHeight="1" x14ac:dyDescent="0.2"/>
    <row r="645" ht="14.25" customHeight="1" x14ac:dyDescent="0.2"/>
    <row r="646" ht="14.25" customHeight="1" x14ac:dyDescent="0.2"/>
    <row r="647" ht="14.25" customHeight="1" x14ac:dyDescent="0.2"/>
    <row r="648" ht="14.25" customHeight="1" x14ac:dyDescent="0.2"/>
    <row r="649" ht="14.25" customHeight="1" x14ac:dyDescent="0.2"/>
    <row r="650" ht="14.25" customHeight="1" x14ac:dyDescent="0.2"/>
    <row r="651" ht="14.25" customHeight="1" x14ac:dyDescent="0.2"/>
    <row r="652" ht="14.25" customHeight="1" x14ac:dyDescent="0.2"/>
    <row r="653" ht="14.25" customHeight="1" x14ac:dyDescent="0.2"/>
    <row r="654" ht="14.25" customHeight="1" x14ac:dyDescent="0.2"/>
    <row r="655" ht="14.25" customHeight="1" x14ac:dyDescent="0.2"/>
    <row r="656" ht="14.25" customHeight="1" x14ac:dyDescent="0.2"/>
    <row r="657" ht="14.25" customHeight="1" x14ac:dyDescent="0.2"/>
    <row r="658" ht="14.25" customHeight="1" x14ac:dyDescent="0.2"/>
    <row r="659" ht="14.25" customHeight="1" x14ac:dyDescent="0.2"/>
    <row r="660" ht="14.25" customHeight="1" x14ac:dyDescent="0.2"/>
    <row r="661" ht="14.25" customHeight="1" x14ac:dyDescent="0.2"/>
    <row r="662" ht="14.25" customHeight="1" x14ac:dyDescent="0.2"/>
    <row r="663" ht="14.25" customHeight="1" x14ac:dyDescent="0.2"/>
    <row r="664" ht="14.25" customHeight="1" x14ac:dyDescent="0.2"/>
    <row r="665" ht="14.25" customHeight="1" x14ac:dyDescent="0.2"/>
    <row r="666" ht="14.25" customHeight="1" x14ac:dyDescent="0.2"/>
    <row r="667" ht="14.25" customHeight="1" x14ac:dyDescent="0.2"/>
    <row r="668" ht="14.25" customHeight="1" x14ac:dyDescent="0.2"/>
    <row r="669" ht="14.25" customHeight="1" x14ac:dyDescent="0.2"/>
    <row r="670" ht="14.25" customHeight="1" x14ac:dyDescent="0.2"/>
    <row r="671" ht="14.25" customHeight="1" x14ac:dyDescent="0.2"/>
    <row r="672" ht="14.25" customHeight="1" x14ac:dyDescent="0.2"/>
    <row r="673" ht="14.25" customHeight="1" x14ac:dyDescent="0.2"/>
    <row r="674" ht="14.25" customHeight="1" x14ac:dyDescent="0.2"/>
    <row r="675" ht="14.25" customHeight="1" x14ac:dyDescent="0.2"/>
    <row r="676" ht="14.25" customHeight="1" x14ac:dyDescent="0.2"/>
    <row r="677" ht="14.25" customHeight="1" x14ac:dyDescent="0.2"/>
    <row r="678" ht="14.25" customHeight="1" x14ac:dyDescent="0.2"/>
    <row r="679" ht="14.25" customHeight="1" x14ac:dyDescent="0.2"/>
    <row r="680" ht="14.25" customHeight="1" x14ac:dyDescent="0.2"/>
    <row r="681" ht="14.25" customHeight="1" x14ac:dyDescent="0.2"/>
    <row r="682" ht="14.25" customHeight="1" x14ac:dyDescent="0.2"/>
    <row r="683" ht="14.25" customHeight="1" x14ac:dyDescent="0.2"/>
    <row r="684" ht="14.25" customHeight="1" x14ac:dyDescent="0.2"/>
    <row r="685" ht="14.25" customHeight="1" x14ac:dyDescent="0.2"/>
    <row r="686" ht="14.25" customHeight="1" x14ac:dyDescent="0.2"/>
    <row r="687" ht="14.25" customHeight="1" x14ac:dyDescent="0.2"/>
    <row r="688" ht="14.25" customHeight="1" x14ac:dyDescent="0.2"/>
    <row r="689" ht="14.25" customHeight="1" x14ac:dyDescent="0.2"/>
    <row r="690" ht="14.25" customHeight="1" x14ac:dyDescent="0.2"/>
    <row r="691" ht="14.25" customHeight="1" x14ac:dyDescent="0.2"/>
    <row r="692" ht="14.25" customHeight="1" x14ac:dyDescent="0.2"/>
    <row r="693" ht="14.25" customHeight="1" x14ac:dyDescent="0.2"/>
    <row r="694" ht="14.25" customHeight="1" x14ac:dyDescent="0.2"/>
    <row r="695" ht="14.25" customHeight="1" x14ac:dyDescent="0.2"/>
    <row r="696" ht="14.25" customHeight="1" x14ac:dyDescent="0.2"/>
    <row r="697" ht="14.25" customHeight="1" x14ac:dyDescent="0.2"/>
    <row r="698" ht="14.25" customHeight="1" x14ac:dyDescent="0.2"/>
    <row r="699" ht="14.25" customHeight="1" x14ac:dyDescent="0.2"/>
    <row r="700" ht="14.25" customHeight="1" x14ac:dyDescent="0.2"/>
    <row r="701" ht="14.25" customHeight="1" x14ac:dyDescent="0.2"/>
    <row r="702" ht="14.25" customHeight="1" x14ac:dyDescent="0.2"/>
    <row r="703" ht="14.25" customHeight="1" x14ac:dyDescent="0.2"/>
    <row r="704" ht="14.25" customHeight="1" x14ac:dyDescent="0.2"/>
    <row r="705" ht="14.25" customHeight="1" x14ac:dyDescent="0.2"/>
    <row r="706" ht="14.25" customHeight="1" x14ac:dyDescent="0.2"/>
    <row r="707" ht="14.25" customHeight="1" x14ac:dyDescent="0.2"/>
    <row r="708" ht="14.25" customHeight="1" x14ac:dyDescent="0.2"/>
    <row r="709" ht="14.25" customHeight="1" x14ac:dyDescent="0.2"/>
    <row r="710" ht="14.25" customHeight="1" x14ac:dyDescent="0.2"/>
    <row r="711" ht="14.25" customHeight="1" x14ac:dyDescent="0.2"/>
    <row r="712" ht="14.25" customHeight="1" x14ac:dyDescent="0.2"/>
    <row r="713" ht="14.25" customHeight="1" x14ac:dyDescent="0.2"/>
    <row r="714" ht="14.25" customHeight="1" x14ac:dyDescent="0.2"/>
    <row r="715" ht="14.25" customHeight="1" x14ac:dyDescent="0.2"/>
    <row r="716" ht="14.25" customHeight="1" x14ac:dyDescent="0.2"/>
    <row r="717" ht="14.25" customHeight="1" x14ac:dyDescent="0.2"/>
    <row r="718" ht="14.25" customHeight="1" x14ac:dyDescent="0.2"/>
    <row r="719" ht="14.25" customHeight="1" x14ac:dyDescent="0.2"/>
    <row r="720" ht="14.25" customHeight="1" x14ac:dyDescent="0.2"/>
    <row r="721" ht="14.25" customHeight="1" x14ac:dyDescent="0.2"/>
    <row r="722" ht="14.25" customHeight="1" x14ac:dyDescent="0.2"/>
    <row r="723" ht="14.25" customHeight="1" x14ac:dyDescent="0.2"/>
    <row r="724" ht="14.25" customHeight="1" x14ac:dyDescent="0.2"/>
    <row r="725" ht="14.25" customHeight="1" x14ac:dyDescent="0.2"/>
    <row r="726" ht="14.25" customHeight="1" x14ac:dyDescent="0.2"/>
    <row r="727" ht="14.25" customHeight="1" x14ac:dyDescent="0.2"/>
    <row r="728" ht="14.25" customHeight="1" x14ac:dyDescent="0.2"/>
    <row r="729" ht="14.25" customHeight="1" x14ac:dyDescent="0.2"/>
    <row r="730" ht="14.25" customHeight="1" x14ac:dyDescent="0.2"/>
    <row r="731" ht="14.25" customHeight="1" x14ac:dyDescent="0.2"/>
    <row r="732" ht="14.25" customHeight="1" x14ac:dyDescent="0.2"/>
    <row r="733" ht="14.25" customHeight="1" x14ac:dyDescent="0.2"/>
    <row r="734" ht="14.25" customHeight="1" x14ac:dyDescent="0.2"/>
    <row r="735" ht="14.25" customHeight="1" x14ac:dyDescent="0.2"/>
    <row r="736" ht="14.25" customHeight="1" x14ac:dyDescent="0.2"/>
    <row r="737" ht="14.25" customHeight="1" x14ac:dyDescent="0.2"/>
    <row r="738" ht="14.25" customHeight="1" x14ac:dyDescent="0.2"/>
    <row r="739" ht="14.25" customHeight="1" x14ac:dyDescent="0.2"/>
    <row r="740" ht="14.25" customHeight="1" x14ac:dyDescent="0.2"/>
    <row r="741" ht="14.25" customHeight="1" x14ac:dyDescent="0.2"/>
    <row r="742" ht="14.25" customHeight="1" x14ac:dyDescent="0.2"/>
    <row r="743" ht="14.25" customHeight="1" x14ac:dyDescent="0.2"/>
    <row r="744" ht="14.25" customHeight="1" x14ac:dyDescent="0.2"/>
    <row r="745" ht="14.25" customHeight="1" x14ac:dyDescent="0.2"/>
    <row r="746" ht="14.25" customHeight="1" x14ac:dyDescent="0.2"/>
    <row r="747" ht="14.25" customHeight="1" x14ac:dyDescent="0.2"/>
    <row r="748" ht="14.25" customHeight="1" x14ac:dyDescent="0.2"/>
    <row r="749" ht="14.25" customHeight="1" x14ac:dyDescent="0.2"/>
    <row r="750" ht="14.25" customHeight="1" x14ac:dyDescent="0.2"/>
    <row r="751" ht="14.25" customHeight="1" x14ac:dyDescent="0.2"/>
    <row r="752" ht="14.25" customHeight="1" x14ac:dyDescent="0.2"/>
    <row r="753" ht="14.25" customHeight="1" x14ac:dyDescent="0.2"/>
    <row r="754" ht="14.25" customHeight="1" x14ac:dyDescent="0.2"/>
    <row r="755" ht="14.25" customHeight="1" x14ac:dyDescent="0.2"/>
    <row r="756" ht="14.25" customHeight="1" x14ac:dyDescent="0.2"/>
    <row r="757" ht="14.25" customHeight="1" x14ac:dyDescent="0.2"/>
    <row r="758" ht="14.25" customHeight="1" x14ac:dyDescent="0.2"/>
    <row r="759" ht="14.25" customHeight="1" x14ac:dyDescent="0.2"/>
    <row r="760" ht="14.25" customHeight="1" x14ac:dyDescent="0.2"/>
    <row r="761" ht="14.25" customHeight="1" x14ac:dyDescent="0.2"/>
    <row r="762" ht="14.25" customHeight="1" x14ac:dyDescent="0.2"/>
    <row r="763" ht="14.25" customHeight="1" x14ac:dyDescent="0.2"/>
    <row r="764" ht="14.25" customHeight="1" x14ac:dyDescent="0.2"/>
    <row r="765" ht="14.25" customHeight="1" x14ac:dyDescent="0.2"/>
    <row r="766" ht="14.25" customHeight="1" x14ac:dyDescent="0.2"/>
    <row r="767" ht="14.25" customHeight="1" x14ac:dyDescent="0.2"/>
    <row r="768" ht="14.25" customHeight="1" x14ac:dyDescent="0.2"/>
    <row r="769" ht="14.25" customHeight="1" x14ac:dyDescent="0.2"/>
    <row r="770" ht="14.25" customHeight="1" x14ac:dyDescent="0.2"/>
    <row r="771" ht="14.25" customHeight="1" x14ac:dyDescent="0.2"/>
    <row r="772" ht="14.25" customHeight="1" x14ac:dyDescent="0.2"/>
    <row r="773" ht="14.25" customHeight="1" x14ac:dyDescent="0.2"/>
    <row r="774" ht="14.25" customHeight="1" x14ac:dyDescent="0.2"/>
    <row r="775" ht="14.25" customHeight="1" x14ac:dyDescent="0.2"/>
    <row r="776" ht="14.25" customHeight="1" x14ac:dyDescent="0.2"/>
    <row r="777" ht="14.25" customHeight="1" x14ac:dyDescent="0.2"/>
    <row r="778" ht="14.25" customHeight="1" x14ac:dyDescent="0.2"/>
    <row r="779" ht="14.25" customHeight="1" x14ac:dyDescent="0.2"/>
    <row r="780" ht="14.25" customHeight="1" x14ac:dyDescent="0.2"/>
    <row r="781" ht="14.25" customHeight="1" x14ac:dyDescent="0.2"/>
    <row r="782" ht="14.25" customHeight="1" x14ac:dyDescent="0.2"/>
    <row r="783" ht="14.25" customHeight="1" x14ac:dyDescent="0.2"/>
    <row r="784" ht="14.25" customHeight="1" x14ac:dyDescent="0.2"/>
    <row r="785" ht="14.25" customHeight="1" x14ac:dyDescent="0.2"/>
    <row r="786" ht="14.25" customHeight="1" x14ac:dyDescent="0.2"/>
    <row r="787" ht="14.25" customHeight="1" x14ac:dyDescent="0.2"/>
    <row r="788" ht="14.25" customHeight="1" x14ac:dyDescent="0.2"/>
    <row r="789" ht="14.25" customHeight="1" x14ac:dyDescent="0.2"/>
    <row r="790" ht="14.25" customHeight="1" x14ac:dyDescent="0.2"/>
    <row r="791" ht="14.25" customHeight="1" x14ac:dyDescent="0.2"/>
    <row r="792" ht="14.25" customHeight="1" x14ac:dyDescent="0.2"/>
    <row r="793" ht="14.25" customHeight="1" x14ac:dyDescent="0.2"/>
    <row r="794" ht="14.25" customHeight="1" x14ac:dyDescent="0.2"/>
    <row r="795" ht="14.25" customHeight="1" x14ac:dyDescent="0.2"/>
    <row r="796" ht="14.25" customHeight="1" x14ac:dyDescent="0.2"/>
    <row r="797" ht="14.25" customHeight="1" x14ac:dyDescent="0.2"/>
    <row r="798" ht="14.25" customHeight="1" x14ac:dyDescent="0.2"/>
    <row r="799" ht="14.25" customHeight="1" x14ac:dyDescent="0.2"/>
    <row r="800" ht="14.25" customHeight="1" x14ac:dyDescent="0.2"/>
    <row r="801" ht="14.25" customHeight="1" x14ac:dyDescent="0.2"/>
    <row r="802" ht="14.25" customHeight="1" x14ac:dyDescent="0.2"/>
    <row r="803" ht="14.25" customHeight="1" x14ac:dyDescent="0.2"/>
    <row r="804" ht="14.25" customHeight="1" x14ac:dyDescent="0.2"/>
    <row r="805" ht="14.25" customHeight="1" x14ac:dyDescent="0.2"/>
    <row r="806" ht="14.25" customHeight="1" x14ac:dyDescent="0.2"/>
    <row r="807" ht="14.25" customHeight="1" x14ac:dyDescent="0.2"/>
    <row r="808" ht="14.25" customHeight="1" x14ac:dyDescent="0.2"/>
    <row r="809" ht="14.25" customHeight="1" x14ac:dyDescent="0.2"/>
    <row r="810" ht="14.25" customHeight="1" x14ac:dyDescent="0.2"/>
    <row r="811" ht="14.25" customHeight="1" x14ac:dyDescent="0.2"/>
    <row r="812" ht="14.25" customHeight="1" x14ac:dyDescent="0.2"/>
    <row r="813" ht="14.25" customHeight="1" x14ac:dyDescent="0.2"/>
    <row r="814" ht="14.25" customHeight="1" x14ac:dyDescent="0.2"/>
    <row r="815" ht="14.25" customHeight="1" x14ac:dyDescent="0.2"/>
    <row r="816" ht="14.25" customHeight="1" x14ac:dyDescent="0.2"/>
    <row r="817" ht="14.25" customHeight="1" x14ac:dyDescent="0.2"/>
    <row r="818" ht="14.25" customHeight="1" x14ac:dyDescent="0.2"/>
    <row r="819" ht="14.25" customHeight="1" x14ac:dyDescent="0.2"/>
    <row r="820" ht="14.25" customHeight="1" x14ac:dyDescent="0.2"/>
    <row r="821" ht="14.25" customHeight="1" x14ac:dyDescent="0.2"/>
    <row r="822" ht="14.25" customHeight="1" x14ac:dyDescent="0.2"/>
    <row r="823" ht="14.25" customHeight="1" x14ac:dyDescent="0.2"/>
    <row r="824" ht="14.25" customHeight="1" x14ac:dyDescent="0.2"/>
    <row r="825" ht="14.25" customHeight="1" x14ac:dyDescent="0.2"/>
    <row r="826" ht="14.25" customHeight="1" x14ac:dyDescent="0.2"/>
    <row r="827" ht="14.25" customHeight="1" x14ac:dyDescent="0.2"/>
    <row r="828" ht="14.25" customHeight="1" x14ac:dyDescent="0.2"/>
    <row r="829" ht="14.25" customHeight="1" x14ac:dyDescent="0.2"/>
    <row r="830" ht="14.25" customHeight="1" x14ac:dyDescent="0.2"/>
    <row r="831" ht="14.25" customHeight="1" x14ac:dyDescent="0.2"/>
    <row r="832" ht="14.25" customHeight="1" x14ac:dyDescent="0.2"/>
    <row r="833" ht="14.25" customHeight="1" x14ac:dyDescent="0.2"/>
    <row r="834" ht="14.25" customHeight="1" x14ac:dyDescent="0.2"/>
    <row r="835" ht="14.25" customHeight="1" x14ac:dyDescent="0.2"/>
    <row r="836" ht="14.25" customHeight="1" x14ac:dyDescent="0.2"/>
    <row r="837" ht="14.25" customHeight="1" x14ac:dyDescent="0.2"/>
    <row r="838" ht="14.25" customHeight="1" x14ac:dyDescent="0.2"/>
    <row r="839" ht="14.25" customHeight="1" x14ac:dyDescent="0.2"/>
    <row r="840" ht="14.25" customHeight="1" x14ac:dyDescent="0.2"/>
    <row r="841" ht="14.25" customHeight="1" x14ac:dyDescent="0.2"/>
    <row r="842" ht="14.25" customHeight="1" x14ac:dyDescent="0.2"/>
    <row r="843" ht="14.25" customHeight="1" x14ac:dyDescent="0.2"/>
    <row r="844" ht="14.25" customHeight="1" x14ac:dyDescent="0.2"/>
    <row r="845" ht="14.25" customHeight="1" x14ac:dyDescent="0.2"/>
    <row r="846" ht="14.25" customHeight="1" x14ac:dyDescent="0.2"/>
    <row r="847" ht="14.25" customHeight="1" x14ac:dyDescent="0.2"/>
    <row r="848" ht="14.25" customHeight="1" x14ac:dyDescent="0.2"/>
    <row r="849" ht="14.25" customHeight="1" x14ac:dyDescent="0.2"/>
    <row r="850" ht="14.25" customHeight="1" x14ac:dyDescent="0.2"/>
    <row r="851" ht="14.25" customHeight="1" x14ac:dyDescent="0.2"/>
    <row r="852" ht="14.25" customHeight="1" x14ac:dyDescent="0.2"/>
    <row r="853" ht="14.25" customHeight="1" x14ac:dyDescent="0.2"/>
    <row r="854" ht="14.25" customHeight="1" x14ac:dyDescent="0.2"/>
    <row r="855" ht="14.25" customHeight="1" x14ac:dyDescent="0.2"/>
    <row r="856" ht="14.25" customHeight="1" x14ac:dyDescent="0.2"/>
    <row r="857" ht="14.25" customHeight="1" x14ac:dyDescent="0.2"/>
    <row r="858" ht="14.25" customHeight="1" x14ac:dyDescent="0.2"/>
    <row r="859" ht="14.25" customHeight="1" x14ac:dyDescent="0.2"/>
    <row r="860" ht="14.25" customHeight="1" x14ac:dyDescent="0.2"/>
    <row r="861" ht="14.25" customHeight="1" x14ac:dyDescent="0.2"/>
    <row r="862" ht="14.25" customHeight="1" x14ac:dyDescent="0.2"/>
    <row r="863" ht="14.25" customHeight="1" x14ac:dyDescent="0.2"/>
    <row r="864" ht="14.25" customHeight="1" x14ac:dyDescent="0.2"/>
    <row r="865" ht="14.25" customHeight="1" x14ac:dyDescent="0.2"/>
    <row r="866" ht="14.25" customHeight="1" x14ac:dyDescent="0.2"/>
    <row r="867" ht="14.25" customHeight="1" x14ac:dyDescent="0.2"/>
    <row r="868" ht="14.25" customHeight="1" x14ac:dyDescent="0.2"/>
    <row r="869" ht="14.25" customHeight="1" x14ac:dyDescent="0.2"/>
    <row r="870" ht="14.25" customHeight="1" x14ac:dyDescent="0.2"/>
    <row r="871" ht="14.25" customHeight="1" x14ac:dyDescent="0.2"/>
    <row r="872" ht="14.25" customHeight="1" x14ac:dyDescent="0.2"/>
    <row r="873" ht="14.25" customHeight="1" x14ac:dyDescent="0.2"/>
    <row r="874" ht="14.25" customHeight="1" x14ac:dyDescent="0.2"/>
    <row r="875" ht="14.25" customHeight="1" x14ac:dyDescent="0.2"/>
    <row r="876" ht="14.25" customHeight="1" x14ac:dyDescent="0.2"/>
    <row r="877" ht="14.25" customHeight="1" x14ac:dyDescent="0.2"/>
    <row r="878" ht="14.25" customHeight="1" x14ac:dyDescent="0.2"/>
    <row r="879" ht="14.25" customHeight="1" x14ac:dyDescent="0.2"/>
    <row r="880" ht="14.25" customHeight="1" x14ac:dyDescent="0.2"/>
    <row r="881" ht="14.25" customHeight="1" x14ac:dyDescent="0.2"/>
    <row r="882" ht="14.25" customHeight="1" x14ac:dyDescent="0.2"/>
    <row r="883" ht="14.25" customHeight="1" x14ac:dyDescent="0.2"/>
    <row r="884" ht="14.25" customHeight="1" x14ac:dyDescent="0.2"/>
    <row r="885" ht="14.25" customHeight="1" x14ac:dyDescent="0.2"/>
    <row r="886" ht="14.25" customHeight="1" x14ac:dyDescent="0.2"/>
    <row r="887" ht="14.25" customHeight="1" x14ac:dyDescent="0.2"/>
    <row r="888" ht="14.25" customHeight="1" x14ac:dyDescent="0.2"/>
    <row r="889" ht="14.25" customHeight="1" x14ac:dyDescent="0.2"/>
    <row r="890" ht="14.25" customHeight="1" x14ac:dyDescent="0.2"/>
    <row r="891" ht="14.25" customHeight="1" x14ac:dyDescent="0.2"/>
    <row r="892" ht="14.25" customHeight="1" x14ac:dyDescent="0.2"/>
    <row r="893" ht="14.25" customHeight="1" x14ac:dyDescent="0.2"/>
    <row r="894" ht="14.25" customHeight="1" x14ac:dyDescent="0.2"/>
    <row r="895" ht="14.25" customHeight="1" x14ac:dyDescent="0.2"/>
    <row r="896" ht="14.25" customHeight="1" x14ac:dyDescent="0.2"/>
    <row r="897" ht="14.25" customHeight="1" x14ac:dyDescent="0.2"/>
    <row r="898" ht="14.25" customHeight="1" x14ac:dyDescent="0.2"/>
    <row r="899" ht="14.25" customHeight="1" x14ac:dyDescent="0.2"/>
    <row r="900" ht="14.25" customHeight="1" x14ac:dyDescent="0.2"/>
    <row r="901" ht="14.25" customHeight="1" x14ac:dyDescent="0.2"/>
    <row r="902" ht="14.25" customHeight="1" x14ac:dyDescent="0.2"/>
    <row r="903" ht="14.25" customHeight="1" x14ac:dyDescent="0.2"/>
    <row r="904" ht="14.25" customHeight="1" x14ac:dyDescent="0.2"/>
    <row r="905" ht="14.25" customHeight="1" x14ac:dyDescent="0.2"/>
    <row r="906" ht="14.25" customHeight="1" x14ac:dyDescent="0.2"/>
    <row r="907" ht="14.25" customHeight="1" x14ac:dyDescent="0.2"/>
    <row r="908" ht="14.25" customHeight="1" x14ac:dyDescent="0.2"/>
    <row r="909" ht="14.25" customHeight="1" x14ac:dyDescent="0.2"/>
    <row r="910" ht="14.25" customHeight="1" x14ac:dyDescent="0.2"/>
    <row r="911" ht="14.25" customHeight="1" x14ac:dyDescent="0.2"/>
    <row r="912" ht="14.25" customHeight="1" x14ac:dyDescent="0.2"/>
    <row r="913" ht="14.25" customHeight="1" x14ac:dyDescent="0.2"/>
    <row r="914" ht="14.25" customHeight="1" x14ac:dyDescent="0.2"/>
    <row r="915" ht="14.25" customHeight="1" x14ac:dyDescent="0.2"/>
    <row r="916" ht="14.25" customHeight="1" x14ac:dyDescent="0.2"/>
    <row r="917" ht="14.25" customHeight="1" x14ac:dyDescent="0.2"/>
    <row r="918" ht="14.25" customHeight="1" x14ac:dyDescent="0.2"/>
    <row r="919" ht="14.25" customHeight="1" x14ac:dyDescent="0.2"/>
    <row r="920" ht="14.25" customHeight="1" x14ac:dyDescent="0.2"/>
    <row r="921" ht="14.25" customHeight="1" x14ac:dyDescent="0.2"/>
    <row r="922" ht="14.25" customHeight="1" x14ac:dyDescent="0.2"/>
    <row r="923" ht="14.25" customHeight="1" x14ac:dyDescent="0.2"/>
    <row r="924" ht="14.25" customHeight="1" x14ac:dyDescent="0.2"/>
    <row r="925" ht="14.25" customHeight="1" x14ac:dyDescent="0.2"/>
    <row r="926" ht="14.25" customHeight="1" x14ac:dyDescent="0.2"/>
    <row r="927" ht="14.25" customHeight="1" x14ac:dyDescent="0.2"/>
    <row r="928" ht="14.25" customHeight="1" x14ac:dyDescent="0.2"/>
    <row r="929" ht="14.25" customHeight="1" x14ac:dyDescent="0.2"/>
    <row r="930" ht="14.25" customHeight="1" x14ac:dyDescent="0.2"/>
    <row r="931" ht="14.25" customHeight="1" x14ac:dyDescent="0.2"/>
    <row r="932" ht="14.25" customHeight="1" x14ac:dyDescent="0.2"/>
    <row r="933" ht="14.25" customHeight="1" x14ac:dyDescent="0.2"/>
    <row r="934" ht="14.25" customHeight="1" x14ac:dyDescent="0.2"/>
    <row r="935" ht="14.25" customHeight="1" x14ac:dyDescent="0.2"/>
    <row r="936" ht="14.25" customHeight="1" x14ac:dyDescent="0.2"/>
    <row r="937" ht="14.25" customHeight="1" x14ac:dyDescent="0.2"/>
    <row r="938" ht="14.25" customHeight="1" x14ac:dyDescent="0.2"/>
    <row r="939" ht="14.25" customHeight="1" x14ac:dyDescent="0.2"/>
    <row r="940" ht="14.25" customHeight="1" x14ac:dyDescent="0.2"/>
    <row r="941" ht="14.25" customHeight="1" x14ac:dyDescent="0.2"/>
    <row r="942" ht="14.25" customHeight="1" x14ac:dyDescent="0.2"/>
    <row r="943" ht="14.25" customHeight="1" x14ac:dyDescent="0.2"/>
    <row r="944" ht="14.25" customHeight="1" x14ac:dyDescent="0.2"/>
    <row r="945" ht="14.25" customHeight="1" x14ac:dyDescent="0.2"/>
    <row r="946" ht="14.25" customHeight="1" x14ac:dyDescent="0.2"/>
    <row r="947" ht="14.25" customHeight="1" x14ac:dyDescent="0.2"/>
    <row r="948" ht="14.25" customHeight="1" x14ac:dyDescent="0.2"/>
    <row r="949" ht="14.25" customHeight="1" x14ac:dyDescent="0.2"/>
    <row r="950" ht="14.25" customHeight="1" x14ac:dyDescent="0.2"/>
    <row r="951" ht="14.25" customHeight="1" x14ac:dyDescent="0.2"/>
    <row r="952" ht="14.25" customHeight="1" x14ac:dyDescent="0.2"/>
    <row r="953" ht="14.25" customHeight="1" x14ac:dyDescent="0.2"/>
    <row r="954" ht="14.25" customHeight="1" x14ac:dyDescent="0.2"/>
    <row r="955" ht="14.25" customHeight="1" x14ac:dyDescent="0.2"/>
    <row r="956" ht="14.25" customHeight="1" x14ac:dyDescent="0.2"/>
    <row r="957" ht="14.25" customHeight="1" x14ac:dyDescent="0.2"/>
    <row r="958" ht="14.25" customHeight="1" x14ac:dyDescent="0.2"/>
    <row r="959" ht="14.25" customHeight="1" x14ac:dyDescent="0.2"/>
    <row r="960" ht="14.25" customHeight="1" x14ac:dyDescent="0.2"/>
    <row r="961" ht="14.25" customHeight="1" x14ac:dyDescent="0.2"/>
    <row r="962" ht="14.25" customHeight="1" x14ac:dyDescent="0.2"/>
    <row r="963" ht="14.25" customHeight="1" x14ac:dyDescent="0.2"/>
    <row r="964" ht="14.25" customHeight="1" x14ac:dyDescent="0.2"/>
    <row r="965" ht="14.25" customHeight="1" x14ac:dyDescent="0.2"/>
    <row r="966" ht="14.25" customHeight="1" x14ac:dyDescent="0.2"/>
    <row r="967" ht="14.25" customHeight="1" x14ac:dyDescent="0.2"/>
    <row r="968" ht="14.25" customHeight="1" x14ac:dyDescent="0.2"/>
    <row r="969" ht="14.25" customHeight="1" x14ac:dyDescent="0.2"/>
    <row r="970" ht="14.25" customHeight="1" x14ac:dyDescent="0.2"/>
    <row r="971" ht="14.25" customHeight="1" x14ac:dyDescent="0.2"/>
    <row r="972" ht="14.25" customHeight="1" x14ac:dyDescent="0.2"/>
    <row r="973" ht="14.25" customHeight="1" x14ac:dyDescent="0.2"/>
    <row r="974" ht="14.25" customHeight="1" x14ac:dyDescent="0.2"/>
    <row r="975" ht="14.25" customHeight="1" x14ac:dyDescent="0.2"/>
    <row r="976" ht="14.25" customHeight="1" x14ac:dyDescent="0.2"/>
    <row r="977" ht="14.25" customHeight="1" x14ac:dyDescent="0.2"/>
    <row r="978" ht="14.25" customHeight="1" x14ac:dyDescent="0.2"/>
    <row r="979" ht="14.25" customHeight="1" x14ac:dyDescent="0.2"/>
    <row r="980" ht="14.25" customHeight="1" x14ac:dyDescent="0.2"/>
    <row r="981" ht="14.25" customHeight="1" x14ac:dyDescent="0.2"/>
    <row r="982" ht="14.25" customHeight="1" x14ac:dyDescent="0.2"/>
    <row r="983" ht="14.25" customHeight="1" x14ac:dyDescent="0.2"/>
    <row r="984" ht="14.25" customHeight="1" x14ac:dyDescent="0.2"/>
    <row r="985" ht="14.25" customHeight="1" x14ac:dyDescent="0.2"/>
    <row r="986" ht="14.25" customHeight="1" x14ac:dyDescent="0.2"/>
    <row r="987" ht="14.25" customHeight="1" x14ac:dyDescent="0.2"/>
    <row r="988" ht="14.25" customHeight="1" x14ac:dyDescent="0.2"/>
    <row r="989" ht="14.25" customHeight="1" x14ac:dyDescent="0.2"/>
    <row r="990" ht="14.25" customHeight="1" x14ac:dyDescent="0.2"/>
    <row r="991" ht="14.25" customHeight="1" x14ac:dyDescent="0.2"/>
    <row r="992" ht="14.25" customHeight="1" x14ac:dyDescent="0.2"/>
    <row r="993" ht="14.25" customHeight="1" x14ac:dyDescent="0.2"/>
    <row r="994" ht="14.25" customHeight="1" x14ac:dyDescent="0.2"/>
    <row r="995" ht="14.25" customHeight="1" x14ac:dyDescent="0.2"/>
    <row r="996" ht="14.25" customHeight="1" x14ac:dyDescent="0.2"/>
    <row r="997" ht="14.25" customHeight="1" x14ac:dyDescent="0.2"/>
    <row r="998" ht="14.25" customHeight="1" x14ac:dyDescent="0.2"/>
    <row r="999" ht="14.25" customHeight="1" x14ac:dyDescent="0.2"/>
    <row r="1000" ht="14.25" customHeight="1" x14ac:dyDescent="0.2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"/>
  <sheetViews>
    <sheetView workbookViewId="0">
      <selection activeCell="H2" sqref="H2"/>
    </sheetView>
  </sheetViews>
  <sheetFormatPr baseColWidth="10" defaultRowHeight="15" x14ac:dyDescent="0.2"/>
  <cols>
    <col min="3" max="3" width="11.83203125" bestFit="1" customWidth="1"/>
    <col min="4" max="4" width="19.33203125" bestFit="1" customWidth="1"/>
    <col min="6" max="8" width="17.33203125" bestFit="1" customWidth="1"/>
  </cols>
  <sheetData>
    <row r="1" spans="1:8" x14ac:dyDescent="0.2">
      <c r="A1" t="s">
        <v>49</v>
      </c>
      <c r="B1" t="s">
        <v>50</v>
      </c>
      <c r="C1" t="s">
        <v>51</v>
      </c>
      <c r="D1" t="s">
        <v>52</v>
      </c>
    </row>
    <row r="2" spans="1:8" x14ac:dyDescent="0.2">
      <c r="A2" s="16">
        <v>6.7299999999999999E-2</v>
      </c>
      <c r="B2">
        <f>1000/A2</f>
        <v>14858.841010401189</v>
      </c>
      <c r="C2" s="17">
        <v>247029168</v>
      </c>
      <c r="D2" s="14">
        <f>B2*C2</f>
        <v>3670567132243.6851</v>
      </c>
      <c r="F2" s="18">
        <v>3868963000000</v>
      </c>
      <c r="G2" s="18">
        <v>555246000000</v>
      </c>
      <c r="H2" s="15">
        <f>F2+G2</f>
        <v>4424209000000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D10"/>
  <sheetViews>
    <sheetView workbookViewId="0"/>
  </sheetViews>
  <sheetFormatPr baseColWidth="10" defaultColWidth="12.6640625" defaultRowHeight="15" customHeight="1" x14ac:dyDescent="0.2"/>
  <cols>
    <col min="1" max="1" width="27.83203125" customWidth="1"/>
    <col min="2" max="2" width="25.1640625" customWidth="1"/>
    <col min="3" max="3" width="24.5" customWidth="1"/>
  </cols>
  <sheetData>
    <row r="1" spans="1:4" x14ac:dyDescent="0.2">
      <c r="A1" s="1" t="s">
        <v>53</v>
      </c>
      <c r="B1" s="1" t="s">
        <v>54</v>
      </c>
      <c r="C1" s="1" t="s">
        <v>55</v>
      </c>
      <c r="D1" s="1" t="s">
        <v>55</v>
      </c>
    </row>
    <row r="2" spans="1:4" x14ac:dyDescent="0.2">
      <c r="A2" s="3" t="s">
        <v>56</v>
      </c>
      <c r="B2" s="1" t="s">
        <v>57</v>
      </c>
      <c r="C2" s="1">
        <v>3734</v>
      </c>
      <c r="D2" s="1" t="s">
        <v>58</v>
      </c>
    </row>
    <row r="3" spans="1:4" x14ac:dyDescent="0.2">
      <c r="A3" s="1" t="s">
        <v>59</v>
      </c>
      <c r="B3" s="1" t="s">
        <v>60</v>
      </c>
      <c r="C3" s="1">
        <v>6365</v>
      </c>
      <c r="D3" s="1" t="s">
        <v>58</v>
      </c>
    </row>
    <row r="4" spans="1:4" x14ac:dyDescent="0.2">
      <c r="A4" s="3" t="s">
        <v>61</v>
      </c>
      <c r="B4" s="3" t="s">
        <v>62</v>
      </c>
      <c r="C4" s="3">
        <v>6267</v>
      </c>
      <c r="D4" s="1" t="s">
        <v>58</v>
      </c>
    </row>
    <row r="5" spans="1:4" x14ac:dyDescent="0.2">
      <c r="A5" s="3" t="s">
        <v>63</v>
      </c>
      <c r="B5" s="3" t="s">
        <v>64</v>
      </c>
      <c r="C5" s="3">
        <v>5029</v>
      </c>
      <c r="D5" s="1" t="s">
        <v>58</v>
      </c>
    </row>
    <row r="6" spans="1:4" x14ac:dyDescent="0.2">
      <c r="A6" s="3" t="s">
        <v>65</v>
      </c>
      <c r="B6" s="3" t="s">
        <v>64</v>
      </c>
      <c r="C6" s="3">
        <v>10794</v>
      </c>
      <c r="D6" s="1" t="s">
        <v>58</v>
      </c>
    </row>
    <row r="7" spans="1:4" x14ac:dyDescent="0.2">
      <c r="A7" s="3" t="s">
        <v>66</v>
      </c>
      <c r="B7" s="3" t="s">
        <v>64</v>
      </c>
      <c r="C7" s="3">
        <v>3356</v>
      </c>
      <c r="D7" s="1" t="s">
        <v>58</v>
      </c>
    </row>
    <row r="8" spans="1:4" x14ac:dyDescent="0.2">
      <c r="A8" s="1" t="s">
        <v>67</v>
      </c>
      <c r="B8" s="3" t="s">
        <v>64</v>
      </c>
      <c r="C8" s="3">
        <v>16348</v>
      </c>
      <c r="D8" s="1" t="s">
        <v>58</v>
      </c>
    </row>
    <row r="9" spans="1:4" x14ac:dyDescent="0.2">
      <c r="A9" s="3" t="s">
        <v>68</v>
      </c>
      <c r="B9" s="3" t="s">
        <v>69</v>
      </c>
      <c r="C9" s="3">
        <v>1528</v>
      </c>
      <c r="D9" s="1" t="s">
        <v>58</v>
      </c>
    </row>
    <row r="10" spans="1:4" x14ac:dyDescent="0.2">
      <c r="A10" s="3" t="s">
        <v>70</v>
      </c>
      <c r="B10" s="3" t="s">
        <v>69</v>
      </c>
      <c r="C10" s="3">
        <v>11009</v>
      </c>
      <c r="D10" s="1" t="s">
        <v>58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lokasi kebun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Digitaloffice05679</dc:creator>
  <cp:lastModifiedBy>Muhammad Najmi Rahmani</cp:lastModifiedBy>
  <dcterms:created xsi:type="dcterms:W3CDTF">2025-11-28T07:59:29Z</dcterms:created>
  <dcterms:modified xsi:type="dcterms:W3CDTF">2026-09-23T08:06:13Z</dcterms:modified>
</cp:coreProperties>
</file>