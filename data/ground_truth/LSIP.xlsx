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uhammadnajmirahmani/Belajar/ProjectDatasaur/data/ground_truth/"/>
    </mc:Choice>
  </mc:AlternateContent>
  <xr:revisionPtr revIDLastSave="0" documentId="13_ncr:1_{F0B37EC1-7DC3-1D4C-A64E-349112040FB3}" xr6:coauthVersionLast="47" xr6:coauthVersionMax="47" xr10:uidLastSave="{00000000-0000-0000-0000-000000000000}"/>
  <bookViews>
    <workbookView xWindow="0" yWindow="660" windowWidth="29300" windowHeight="18980" xr2:uid="{00000000-000D-0000-FFFF-FFFF00000000}"/>
  </bookViews>
  <sheets>
    <sheet name="Sheet1" sheetId="1" r:id="rId1"/>
    <sheet name="Sheet2" sheetId="2" r:id="rId2"/>
    <sheet name="lokasi keb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H2" i="2"/>
  <c r="B2" i="2"/>
  <c r="D2" i="2" s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A21" i="1"/>
  <c r="Z21" i="1"/>
  <c r="Y21" i="1"/>
  <c r="X21" i="1"/>
  <c r="W21" i="1"/>
  <c r="W20" i="1" s="1"/>
  <c r="V21" i="1"/>
  <c r="V20" i="1" s="1"/>
  <c r="U21" i="1"/>
  <c r="U20" i="1" s="1"/>
  <c r="T21" i="1"/>
  <c r="T20" i="1" s="1"/>
  <c r="S21" i="1"/>
  <c r="S20" i="1" s="1"/>
  <c r="R21" i="1"/>
  <c r="R20" i="1" s="1"/>
  <c r="Q21" i="1"/>
  <c r="P21" i="1"/>
  <c r="O21" i="1"/>
  <c r="N21" i="1"/>
  <c r="M21" i="1"/>
  <c r="M20" i="1" s="1"/>
  <c r="L21" i="1"/>
  <c r="L20" i="1" s="1"/>
  <c r="K21" i="1"/>
  <c r="K20" i="1" s="1"/>
  <c r="J21" i="1"/>
  <c r="J20" i="1" s="1"/>
  <c r="I21" i="1"/>
  <c r="I20" i="1" s="1"/>
  <c r="H21" i="1"/>
  <c r="H20" i="1" s="1"/>
  <c r="G21" i="1"/>
  <c r="F21" i="1"/>
  <c r="E21" i="1"/>
  <c r="D21" i="1"/>
  <c r="C21" i="1"/>
  <c r="C20" i="1" s="1"/>
  <c r="B21" i="1"/>
  <c r="B20" i="1" s="1"/>
  <c r="AA20" i="1"/>
  <c r="Z20" i="1"/>
  <c r="Y20" i="1"/>
  <c r="X20" i="1"/>
  <c r="Q20" i="1"/>
  <c r="P20" i="1"/>
  <c r="O20" i="1"/>
  <c r="N20" i="1"/>
  <c r="G20" i="1"/>
  <c r="F20" i="1"/>
  <c r="E20" i="1"/>
  <c r="D20" i="1"/>
  <c r="W19" i="1"/>
  <c r="V19" i="1"/>
  <c r="U19" i="1"/>
  <c r="T19" i="1"/>
  <c r="M19" i="1"/>
  <c r="L19" i="1"/>
  <c r="K19" i="1"/>
  <c r="J19" i="1"/>
  <c r="C19" i="1"/>
  <c r="B19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A15" i="1"/>
  <c r="AA19" i="1" s="1"/>
  <c r="Z15" i="1"/>
  <c r="Z19" i="1" s="1"/>
  <c r="Y15" i="1"/>
  <c r="Y19" i="1" s="1"/>
  <c r="X15" i="1"/>
  <c r="X19" i="1" s="1"/>
  <c r="W15" i="1"/>
  <c r="V15" i="1"/>
  <c r="U15" i="1"/>
  <c r="T15" i="1"/>
  <c r="S15" i="1"/>
  <c r="S19" i="1" s="1"/>
  <c r="R15" i="1"/>
  <c r="R19" i="1" s="1"/>
  <c r="Q15" i="1"/>
  <c r="Q19" i="1" s="1"/>
  <c r="P15" i="1"/>
  <c r="P19" i="1" s="1"/>
  <c r="O15" i="1"/>
  <c r="O19" i="1" s="1"/>
  <c r="N15" i="1"/>
  <c r="N19" i="1" s="1"/>
  <c r="M15" i="1"/>
  <c r="L15" i="1"/>
  <c r="K15" i="1"/>
  <c r="J15" i="1"/>
  <c r="I15" i="1"/>
  <c r="I19" i="1" s="1"/>
  <c r="H15" i="1"/>
  <c r="H19" i="1" s="1"/>
  <c r="G15" i="1"/>
  <c r="G19" i="1" s="1"/>
  <c r="F15" i="1"/>
  <c r="F19" i="1" s="1"/>
  <c r="E15" i="1"/>
  <c r="E19" i="1" s="1"/>
  <c r="D15" i="1"/>
  <c r="D19" i="1" s="1"/>
  <c r="C15" i="1"/>
  <c r="B15" i="1"/>
</calcChain>
</file>

<file path=xl/sharedStrings.xml><?xml version="1.0" encoding="utf-8"?>
<sst xmlns="http://schemas.openxmlformats.org/spreadsheetml/2006/main" count="84" uniqueCount="71">
  <si>
    <t>(HANYA YANG BISA DIATRIBUSIKAN KE ENTITAS INDUK SAJA)</t>
  </si>
  <si>
    <t>LSIP</t>
  </si>
  <si>
    <t>DINYATAKAN DALAM RUPIAH</t>
  </si>
  <si>
    <t>kecuali nilai nominal dan data saham</t>
  </si>
  <si>
    <t>Q2 2026</t>
  </si>
  <si>
    <t>Q1 2026</t>
  </si>
  <si>
    <t>Q4 2025</t>
  </si>
  <si>
    <t>Q3 2025</t>
  </si>
  <si>
    <t>Q2 2025</t>
  </si>
  <si>
    <t>Q1 2025</t>
  </si>
  <si>
    <t>TAHUNAN 2024</t>
  </si>
  <si>
    <t>Q3 2024</t>
  </si>
  <si>
    <t>Q2 2024</t>
  </si>
  <si>
    <t>Q1 2024</t>
  </si>
  <si>
    <t>TAHUNAN 2023</t>
  </si>
  <si>
    <t>Q3 2023</t>
  </si>
  <si>
    <t>Q2 2023</t>
  </si>
  <si>
    <t>Q1 2023</t>
  </si>
  <si>
    <t>TAHUNAN 2022</t>
  </si>
  <si>
    <t>Q3 2022</t>
  </si>
  <si>
    <t>Q2 2022</t>
  </si>
  <si>
    <t>Q1 2022</t>
  </si>
  <si>
    <t>TAHUNAN 2021</t>
  </si>
  <si>
    <t>Q3 2021</t>
  </si>
  <si>
    <t>Q2 2021</t>
  </si>
  <si>
    <t>Q1 2021</t>
  </si>
  <si>
    <t>TAHUNAN 2020</t>
  </si>
  <si>
    <t>Q3 2020</t>
  </si>
  <si>
    <t>Q2 2020</t>
  </si>
  <si>
    <t>Q1 2020</t>
  </si>
  <si>
    <t>Aset</t>
  </si>
  <si>
    <t>total aset lancar</t>
  </si>
  <si>
    <t>KAS</t>
  </si>
  <si>
    <t>liabilitas</t>
  </si>
  <si>
    <t>Utang Bank SAJA Jangka Pendek + Panjang jatuh tempo</t>
  </si>
  <si>
    <t>ekuitas</t>
  </si>
  <si>
    <t>laba bersih</t>
  </si>
  <si>
    <t>pendapatan dari kontrak dengan pelanggan</t>
  </si>
  <si>
    <t>kas dari aktivitas operasi</t>
  </si>
  <si>
    <t>total share</t>
  </si>
  <si>
    <t>Harga saham rupiah</t>
  </si>
  <si>
    <t>Book Value per share</t>
  </si>
  <si>
    <t>P1</t>
  </si>
  <si>
    <t>ROA</t>
  </si>
  <si>
    <t>ROE</t>
  </si>
  <si>
    <t>PBV</t>
  </si>
  <si>
    <t>PE</t>
  </si>
  <si>
    <t>EPS</t>
  </si>
  <si>
    <t>DER</t>
  </si>
  <si>
    <t>Kurs</t>
  </si>
  <si>
    <t>USD to IDR</t>
  </si>
  <si>
    <t>Value</t>
  </si>
  <si>
    <t>Converted</t>
  </si>
  <si>
    <t>Perusahaan</t>
  </si>
  <si>
    <t xml:space="preserve">Lokasi </t>
  </si>
  <si>
    <t>Luasan</t>
  </si>
  <si>
    <t>PT Cipta Davia Mandiri</t>
  </si>
  <si>
    <t xml:space="preserve">Kutai Timur, Kaltim </t>
  </si>
  <si>
    <t>Hektar</t>
  </si>
  <si>
    <t>PT Cahaya Anugrah Plantation</t>
  </si>
  <si>
    <t>Kutai Kartanegara, Kaltim</t>
  </si>
  <si>
    <t>Multi Jayantara Abadi</t>
  </si>
  <si>
    <t>Paser, Kaltim</t>
  </si>
  <si>
    <t>Gemilang Sejahtera Abadi</t>
  </si>
  <si>
    <t>Kutai Timur, Kaltim</t>
  </si>
  <si>
    <t>Telen Prima Sawit</t>
  </si>
  <si>
    <t>Sawit Prima Nusantara</t>
  </si>
  <si>
    <t xml:space="preserve"> Telen</t>
  </si>
  <si>
    <t>Inti Energi Kaltim</t>
  </si>
  <si>
    <t>Berau, Kaltim</t>
  </si>
  <si>
    <t>Tanjung Buyu Perkasa 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</si>
</sst>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_ "/>
  </numFmts>
  <fonts count="8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color theme="1"/>
      <name val="Aptos Narrow"/>
      <scheme val="minor"/>
    </font>
    <font>
      <sz val="9"/>
      <color rgb="FF000000"/>
      <name val="Helvetica"/>
      <family val="2"/>
    </font>
    <font>
      <sz val="8"/>
      <color rgb="FF000000"/>
      <name val="Arial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41" fontId="0" fillId="0" borderId="0" xfId="1" applyFont="1"/>
    <xf numFmtId="41" fontId="0" fillId="0" borderId="0" xfId="0" applyNumberFormat="1"/>
    <xf numFmtId="0" fontId="4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6" fillId="0" borderId="0" xfId="0" applyFont="1"/>
    <xf numFmtId="0" fontId="7" fillId="0" borderId="0" xfId="0" applyFont="1"/>
    <xf numFmtId="41" fontId="3" fillId="0" borderId="0" xfId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1" topLeftCell="B1" activePane="topRight" state="frozen"/>
      <selection pane="topRight" activeCell="B22" sqref="B22"/>
    </sheetView>
  </sheetViews>
  <sheetFormatPr baseColWidth="10" defaultColWidth="12.6640625" defaultRowHeight="15" customHeight="1" x14ac:dyDescent="0.2"/>
  <cols>
    <col min="1" max="1" width="59.6640625" customWidth="1"/>
    <col min="2" max="2" width="20.5" customWidth="1"/>
    <col min="3" max="3" width="19.5" customWidth="1"/>
    <col min="4" max="4" width="22.5" customWidth="1"/>
    <col min="5" max="7" width="19.5" customWidth="1"/>
    <col min="8" max="8" width="18.33203125" bestFit="1" customWidth="1"/>
    <col min="9" max="9" width="19.5" customWidth="1"/>
    <col min="10" max="15" width="18.33203125" bestFit="1" customWidth="1"/>
    <col min="16" max="17" width="18.6640625" bestFit="1" customWidth="1"/>
    <col min="18" max="18" width="32.83203125" bestFit="1" customWidth="1"/>
    <col min="19" max="19" width="18.6640625" bestFit="1" customWidth="1"/>
    <col min="20" max="20" width="15" bestFit="1" customWidth="1"/>
    <col min="21" max="23" width="8.6640625" customWidth="1"/>
    <col min="24" max="24" width="15" bestFit="1" customWidth="1"/>
    <col min="25" max="27" width="8.6640625" customWidth="1"/>
  </cols>
  <sheetData>
    <row r="1" spans="1:27" ht="14.25" customHeight="1" x14ac:dyDescent="0.2">
      <c r="A1" s="2" t="s">
        <v>0</v>
      </c>
      <c r="D1" s="4" t="s">
        <v>1</v>
      </c>
      <c r="E1" s="2"/>
      <c r="F1" s="2"/>
      <c r="G1" s="2"/>
      <c r="H1" s="2"/>
      <c r="I1" s="2"/>
      <c r="J1" s="2"/>
      <c r="K1" s="2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7" ht="14.25" customHeight="1" x14ac:dyDescent="0.2">
      <c r="A2" s="2" t="s">
        <v>2</v>
      </c>
      <c r="D2" s="4"/>
      <c r="E2" s="2"/>
      <c r="F2" s="2" t="s">
        <v>3</v>
      </c>
      <c r="G2" s="2"/>
      <c r="H2" s="2"/>
      <c r="I2" s="2"/>
      <c r="J2" s="2"/>
      <c r="K2" s="2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ht="14.25" customHeight="1" x14ac:dyDescent="0.2">
      <c r="A3" s="2"/>
      <c r="B3" s="1" t="s">
        <v>4</v>
      </c>
      <c r="C3" s="1" t="s">
        <v>5</v>
      </c>
      <c r="D3" s="1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</row>
    <row r="4" spans="1:27" ht="14.25" customHeight="1" x14ac:dyDescent="0.2">
      <c r="A4" s="2" t="s">
        <v>30</v>
      </c>
      <c r="B4" s="19">
        <v>16294964000000</v>
      </c>
      <c r="C4" s="19">
        <v>15810671000000</v>
      </c>
      <c r="D4" s="19">
        <v>15540077000000</v>
      </c>
      <c r="E4" s="19">
        <v>14784538000000</v>
      </c>
      <c r="F4" s="19">
        <v>14598563000000</v>
      </c>
      <c r="G4" s="19">
        <v>14253853000000</v>
      </c>
      <c r="H4" s="19">
        <v>13841956000000</v>
      </c>
      <c r="I4" s="19">
        <v>13103166000000</v>
      </c>
      <c r="J4" s="19">
        <v>13157814000000</v>
      </c>
      <c r="K4" s="19">
        <v>12858497000000</v>
      </c>
      <c r="L4" s="19">
        <v>12514203000000</v>
      </c>
      <c r="M4" s="19">
        <v>12477655000000</v>
      </c>
      <c r="N4" s="19">
        <v>12517900000000</v>
      </c>
      <c r="O4" s="19">
        <v>12497229000000</v>
      </c>
      <c r="P4" s="19">
        <v>12417013000000</v>
      </c>
      <c r="Q4" s="19">
        <v>12403555000000</v>
      </c>
      <c r="R4" s="19">
        <v>12506873000000</v>
      </c>
      <c r="S4" s="19">
        <v>12207153000000</v>
      </c>
      <c r="T4" s="5"/>
      <c r="U4" s="7"/>
      <c r="V4" s="7"/>
      <c r="W4" s="7"/>
      <c r="X4" s="7"/>
      <c r="Y4" s="7"/>
      <c r="Z4" s="7"/>
      <c r="AA4" s="7"/>
    </row>
    <row r="5" spans="1:27" ht="14.25" customHeight="1" x14ac:dyDescent="0.2">
      <c r="A5" s="2" t="s">
        <v>31</v>
      </c>
      <c r="B5" s="19">
        <v>9500254000000</v>
      </c>
      <c r="C5" s="19">
        <v>9001014000000</v>
      </c>
      <c r="D5" s="19">
        <v>8699271000000</v>
      </c>
      <c r="E5" s="19">
        <v>8017709000000</v>
      </c>
      <c r="F5" s="19">
        <v>7860713000000</v>
      </c>
      <c r="G5" s="19">
        <v>7525282000000</v>
      </c>
      <c r="H5" s="19">
        <v>7117283000000</v>
      </c>
      <c r="I5" s="19">
        <v>6095800000000</v>
      </c>
      <c r="J5" s="19">
        <v>6047595000000</v>
      </c>
      <c r="K5" s="19">
        <v>5741486000000</v>
      </c>
      <c r="L5" s="19">
        <v>5376837000000</v>
      </c>
      <c r="M5" s="19">
        <v>5168807000000</v>
      </c>
      <c r="N5" s="19">
        <v>5198095000000</v>
      </c>
      <c r="O5" s="19">
        <v>5172644000000</v>
      </c>
      <c r="P5" s="19">
        <v>5107489000000</v>
      </c>
      <c r="Q5" s="19">
        <v>5006057000000</v>
      </c>
      <c r="R5" s="19">
        <v>5121590000000</v>
      </c>
      <c r="S5" s="19">
        <v>4776478000000</v>
      </c>
      <c r="T5" s="5"/>
      <c r="U5" s="7"/>
      <c r="V5" s="7"/>
      <c r="W5" s="7"/>
      <c r="X5" s="7"/>
      <c r="Y5" s="7"/>
      <c r="Z5" s="7"/>
      <c r="AA5" s="7"/>
    </row>
    <row r="6" spans="1:27" ht="14.25" customHeight="1" x14ac:dyDescent="0.2">
      <c r="A6" s="2" t="s">
        <v>32</v>
      </c>
      <c r="B6" s="19">
        <v>8371777000000</v>
      </c>
      <c r="C6" s="19">
        <v>7830497000000</v>
      </c>
      <c r="D6" s="19">
        <v>7597470000000</v>
      </c>
      <c r="E6" s="19">
        <v>6901140000000</v>
      </c>
      <c r="F6" s="19">
        <v>6509695000000</v>
      </c>
      <c r="G6" s="19">
        <v>6377872000000</v>
      </c>
      <c r="H6" s="19">
        <v>5453691000000</v>
      </c>
      <c r="I6" s="19">
        <v>4857846000000</v>
      </c>
      <c r="J6" s="19">
        <v>4925538000000</v>
      </c>
      <c r="K6" s="19">
        <v>4758190000000</v>
      </c>
      <c r="L6" s="19">
        <v>4511450000000</v>
      </c>
      <c r="M6" s="19">
        <v>4057700000000</v>
      </c>
      <c r="N6" s="19">
        <v>4161348000000</v>
      </c>
      <c r="O6" s="19">
        <v>4079776000000</v>
      </c>
      <c r="P6" s="19">
        <v>3847390000000</v>
      </c>
      <c r="Q6" s="19">
        <v>3606410000000</v>
      </c>
      <c r="R6" s="19">
        <v>3749678000000</v>
      </c>
      <c r="S6" s="19">
        <v>3460392000000</v>
      </c>
      <c r="T6" s="5"/>
      <c r="U6" s="7"/>
      <c r="V6" s="7"/>
      <c r="W6" s="7"/>
      <c r="X6" s="7"/>
      <c r="Y6" s="7"/>
      <c r="Z6" s="7"/>
      <c r="AA6" s="7"/>
    </row>
    <row r="7" spans="1:27" ht="14.25" customHeight="1" x14ac:dyDescent="0.2">
      <c r="A7" s="2" t="s">
        <v>33</v>
      </c>
      <c r="B7" s="19">
        <v>1976754000000</v>
      </c>
      <c r="C7" s="19">
        <v>1421471000000</v>
      </c>
      <c r="D7" s="19">
        <v>1543964000000</v>
      </c>
      <c r="E7" s="19">
        <v>1425966000000</v>
      </c>
      <c r="F7" s="19">
        <v>1772142000000</v>
      </c>
      <c r="G7" s="19">
        <v>1306050000000</v>
      </c>
      <c r="H7" s="19">
        <v>1285202000000</v>
      </c>
      <c r="I7" s="19">
        <v>1219643000000</v>
      </c>
      <c r="J7" s="19">
        <v>1478804000000</v>
      </c>
      <c r="K7" s="19">
        <v>1242125000000</v>
      </c>
      <c r="L7" s="19">
        <v>1166762000000</v>
      </c>
      <c r="M7" s="19">
        <v>1450981000000</v>
      </c>
      <c r="N7" s="19">
        <v>1780608000000</v>
      </c>
      <c r="O7" s="19">
        <v>1451304000000</v>
      </c>
      <c r="P7" s="19">
        <v>1481306000000</v>
      </c>
      <c r="Q7" s="19">
        <v>1814443000000</v>
      </c>
      <c r="R7" s="19">
        <v>1785553000000</v>
      </c>
      <c r="S7" s="19">
        <v>1729979000000</v>
      </c>
      <c r="T7" s="5"/>
      <c r="U7" s="7"/>
      <c r="V7" s="7"/>
      <c r="W7" s="7"/>
      <c r="X7" s="7"/>
      <c r="Y7" s="7"/>
      <c r="Z7" s="7"/>
      <c r="AA7" s="7"/>
    </row>
    <row r="8" spans="1:27" ht="14.25" customHeight="1" x14ac:dyDescent="0.2">
      <c r="A8" s="2" t="s">
        <v>34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5"/>
      <c r="U8" s="7"/>
      <c r="V8" s="7"/>
      <c r="W8" s="7"/>
      <c r="X8" s="7"/>
      <c r="Y8" s="7"/>
      <c r="Z8" s="7"/>
      <c r="AA8" s="7"/>
    </row>
    <row r="9" spans="1:27" ht="14.25" customHeight="1" x14ac:dyDescent="0.2">
      <c r="A9" s="2" t="s">
        <v>35</v>
      </c>
      <c r="B9" s="19">
        <v>14322772000000</v>
      </c>
      <c r="C9" s="19">
        <v>14393367000000</v>
      </c>
      <c r="D9" s="19">
        <v>13999946000000</v>
      </c>
      <c r="E9" s="19">
        <v>13361953000000</v>
      </c>
      <c r="F9" s="19">
        <v>12829441000000</v>
      </c>
      <c r="G9" s="19">
        <v>12950537000000</v>
      </c>
      <c r="H9" s="19">
        <v>12559186000000</v>
      </c>
      <c r="I9" s="19">
        <v>11885569000000</v>
      </c>
      <c r="J9" s="19">
        <v>11680693000000</v>
      </c>
      <c r="K9" s="19">
        <v>11617804000000</v>
      </c>
      <c r="L9" s="19">
        <v>11348618000000</v>
      </c>
      <c r="M9" s="19">
        <v>11027613000000</v>
      </c>
      <c r="N9" s="19">
        <v>10737983000000</v>
      </c>
      <c r="O9" s="19">
        <v>11046191000000</v>
      </c>
      <c r="P9" s="19">
        <v>10935562000000</v>
      </c>
      <c r="Q9" s="19">
        <v>10588697000000</v>
      </c>
      <c r="R9" s="19">
        <v>10720658000000</v>
      </c>
      <c r="S9" s="19">
        <v>10476166000000</v>
      </c>
      <c r="T9" s="5"/>
      <c r="U9" s="7"/>
      <c r="V9" s="7"/>
      <c r="W9" s="7"/>
      <c r="X9" s="7"/>
      <c r="Y9" s="7"/>
      <c r="Z9" s="7"/>
      <c r="AA9" s="7"/>
    </row>
    <row r="10" spans="1:27" ht="14.25" customHeight="1" x14ac:dyDescent="0.2">
      <c r="A10" s="2" t="s">
        <v>36</v>
      </c>
      <c r="B10" s="19">
        <v>890988000000</v>
      </c>
      <c r="C10" s="19">
        <v>394437000000</v>
      </c>
      <c r="D10" s="19">
        <v>1887756000000</v>
      </c>
      <c r="E10" s="19">
        <v>1247373000000</v>
      </c>
      <c r="F10" s="19">
        <v>714460000000</v>
      </c>
      <c r="G10" s="19">
        <v>391800000000</v>
      </c>
      <c r="H10" s="19">
        <v>1476909000000</v>
      </c>
      <c r="I10" s="19">
        <v>803347000000</v>
      </c>
      <c r="J10" s="19">
        <v>598324000000</v>
      </c>
      <c r="K10" s="19">
        <v>269305000000</v>
      </c>
      <c r="L10" s="19">
        <v>761995000000</v>
      </c>
      <c r="M10" s="19">
        <v>457590000000</v>
      </c>
      <c r="N10" s="19">
        <v>166508000000</v>
      </c>
      <c r="O10" s="19">
        <v>111955000000</v>
      </c>
      <c r="P10" s="19">
        <v>1036448000000</v>
      </c>
      <c r="Q10" s="19">
        <v>764246000000</v>
      </c>
      <c r="R10" s="19">
        <v>548760000000</v>
      </c>
      <c r="S10" s="19">
        <v>304628000000</v>
      </c>
      <c r="T10" s="5"/>
      <c r="U10" s="7"/>
      <c r="V10" s="7"/>
      <c r="W10" s="7"/>
      <c r="X10" s="7"/>
      <c r="Y10" s="7"/>
      <c r="Z10" s="7"/>
      <c r="AA10" s="7"/>
    </row>
    <row r="11" spans="1:27" ht="14.25" customHeight="1" x14ac:dyDescent="0.2">
      <c r="A11" s="6" t="s">
        <v>37</v>
      </c>
      <c r="B11" s="19">
        <v>2689745000000</v>
      </c>
      <c r="C11" s="19">
        <v>1326929000000</v>
      </c>
      <c r="D11" s="19">
        <v>5511706000000</v>
      </c>
      <c r="E11" s="19">
        <v>3956904000000</v>
      </c>
      <c r="F11" s="19">
        <v>2321276000000</v>
      </c>
      <c r="G11" s="19">
        <v>1289643000000</v>
      </c>
      <c r="H11" s="19">
        <v>4562503000000</v>
      </c>
      <c r="I11" s="19">
        <v>2924351000000</v>
      </c>
      <c r="J11" s="19">
        <v>1800938000000</v>
      </c>
      <c r="K11" s="19">
        <v>879465000000</v>
      </c>
      <c r="L11" s="19">
        <v>4189896000000</v>
      </c>
      <c r="M11" s="19">
        <v>2922836000000</v>
      </c>
      <c r="N11" s="19">
        <v>1883886000000</v>
      </c>
      <c r="O11" s="19">
        <v>904185000000</v>
      </c>
      <c r="P11" s="19">
        <v>4585348000000</v>
      </c>
      <c r="Q11" s="19">
        <v>3044614000000</v>
      </c>
      <c r="R11" s="19">
        <v>2047327000000</v>
      </c>
      <c r="S11" s="19">
        <v>764932000000</v>
      </c>
      <c r="T11" s="5"/>
      <c r="U11" s="7"/>
      <c r="V11" s="7"/>
      <c r="W11" s="7"/>
      <c r="X11" s="7"/>
      <c r="Y11" s="7"/>
      <c r="Z11" s="7"/>
      <c r="AA11" s="7"/>
    </row>
    <row r="12" spans="1:27" ht="14.25" customHeight="1" x14ac:dyDescent="0.2">
      <c r="A12" s="2" t="s">
        <v>38</v>
      </c>
      <c r="B12" s="19">
        <v>849221000000</v>
      </c>
      <c r="C12" s="19">
        <v>291263000000</v>
      </c>
      <c r="D12" s="19">
        <v>3015733000000</v>
      </c>
      <c r="E12" s="19">
        <v>2152702000000</v>
      </c>
      <c r="F12" s="19">
        <v>1232929000000</v>
      </c>
      <c r="G12" s="19">
        <v>994848000000</v>
      </c>
      <c r="H12" s="19">
        <v>1565333000000</v>
      </c>
      <c r="I12" s="19">
        <v>936251000000</v>
      </c>
      <c r="J12" s="19">
        <v>496159000000</v>
      </c>
      <c r="K12" s="19">
        <v>277025000000</v>
      </c>
      <c r="L12" s="19">
        <v>1411390000000</v>
      </c>
      <c r="M12" s="19">
        <v>857037000000</v>
      </c>
      <c r="N12" s="19">
        <v>556365000000</v>
      </c>
      <c r="O12" s="19">
        <v>386853000000</v>
      </c>
      <c r="P12" s="19">
        <v>1087265000000</v>
      </c>
      <c r="Q12" s="19">
        <v>760809000000</v>
      </c>
      <c r="R12" s="19">
        <v>493030000000</v>
      </c>
      <c r="S12" s="19">
        <v>140947000000</v>
      </c>
      <c r="T12" s="5"/>
      <c r="U12" s="7"/>
      <c r="V12" s="7"/>
      <c r="W12" s="7"/>
      <c r="X12" s="7"/>
      <c r="Y12" s="7"/>
      <c r="Z12" s="7"/>
      <c r="AA12" s="7"/>
    </row>
    <row r="13" spans="1:27" ht="14.25" customHeight="1" x14ac:dyDescent="0.2">
      <c r="A13" s="2" t="s">
        <v>39</v>
      </c>
      <c r="B13" s="19">
        <v>6819963965</v>
      </c>
      <c r="C13" s="19">
        <v>6819963965</v>
      </c>
      <c r="D13" s="19">
        <v>6819963965</v>
      </c>
      <c r="E13" s="19">
        <v>6819963965</v>
      </c>
      <c r="F13" s="19">
        <v>6819963965</v>
      </c>
      <c r="G13" s="19">
        <v>6819963965</v>
      </c>
      <c r="H13" s="19">
        <v>6819963965</v>
      </c>
      <c r="I13" s="19">
        <v>6819963965</v>
      </c>
      <c r="J13" s="19">
        <v>6819963965</v>
      </c>
      <c r="K13" s="19">
        <v>6819963965</v>
      </c>
      <c r="L13" s="19">
        <v>6819963965</v>
      </c>
      <c r="M13" s="19">
        <v>6819963965</v>
      </c>
      <c r="N13" s="19">
        <v>6819963965</v>
      </c>
      <c r="O13" s="19">
        <v>6819963965</v>
      </c>
      <c r="P13" s="19">
        <v>6819963965</v>
      </c>
      <c r="Q13" s="19">
        <v>6819963965</v>
      </c>
      <c r="R13" s="19">
        <v>6819963965</v>
      </c>
      <c r="S13" s="19">
        <v>6819963965</v>
      </c>
      <c r="T13" s="5"/>
      <c r="U13" s="7"/>
      <c r="V13" s="7"/>
      <c r="W13" s="7"/>
      <c r="X13" s="7"/>
      <c r="Y13" s="7"/>
      <c r="Z13" s="7"/>
      <c r="AA13" s="7"/>
    </row>
    <row r="14" spans="1:27" ht="14.25" customHeight="1" x14ac:dyDescent="0.2">
      <c r="A14" s="2" t="s">
        <v>40</v>
      </c>
      <c r="B14" s="4">
        <v>1415</v>
      </c>
      <c r="C14" s="4">
        <v>1285</v>
      </c>
      <c r="D14" s="4">
        <v>1490</v>
      </c>
      <c r="E14" s="4">
        <v>1385</v>
      </c>
      <c r="F14" s="4">
        <v>1355</v>
      </c>
      <c r="G14" s="4">
        <v>1300</v>
      </c>
      <c r="H14" s="5">
        <v>1180</v>
      </c>
      <c r="I14" s="5">
        <v>1075</v>
      </c>
      <c r="J14" s="5">
        <v>885</v>
      </c>
      <c r="K14" s="5">
        <v>755</v>
      </c>
      <c r="L14" s="5">
        <v>890</v>
      </c>
      <c r="M14" s="5">
        <v>930</v>
      </c>
      <c r="N14" s="5">
        <v>1065</v>
      </c>
      <c r="O14" s="5">
        <v>1025</v>
      </c>
      <c r="P14" s="5">
        <v>970</v>
      </c>
      <c r="Q14" s="5">
        <v>1075</v>
      </c>
      <c r="R14" s="5">
        <v>1190</v>
      </c>
      <c r="S14" s="5">
        <v>1170</v>
      </c>
      <c r="T14" s="5">
        <v>1355</v>
      </c>
      <c r="U14" s="7">
        <v>1350</v>
      </c>
      <c r="V14" s="7">
        <v>1145</v>
      </c>
      <c r="W14" s="4">
        <v>1075</v>
      </c>
      <c r="X14" s="7">
        <v>1370</v>
      </c>
      <c r="Y14" s="7">
        <v>1100</v>
      </c>
      <c r="Z14" s="7">
        <v>985</v>
      </c>
      <c r="AA14" s="7">
        <v>835</v>
      </c>
    </row>
    <row r="15" spans="1:27" ht="14.25" customHeight="1" x14ac:dyDescent="0.2">
      <c r="A15" s="8" t="s">
        <v>41</v>
      </c>
      <c r="B15" s="6">
        <f t="shared" ref="B15:AA15" si="0">B9/B13</f>
        <v>2100.1242929587825</v>
      </c>
      <c r="C15" s="6">
        <f t="shared" si="0"/>
        <v>2110.4755206723444</v>
      </c>
      <c r="D15" s="6">
        <f t="shared" si="0"/>
        <v>2052.7888522355265</v>
      </c>
      <c r="E15" s="6">
        <f t="shared" si="0"/>
        <v>1959.2409972506357</v>
      </c>
      <c r="F15" s="6">
        <f t="shared" si="0"/>
        <v>1881.1596462738787</v>
      </c>
      <c r="G15" s="6">
        <f t="shared" si="0"/>
        <v>1898.9157518224511</v>
      </c>
      <c r="H15" s="6">
        <f t="shared" si="0"/>
        <v>1841.5326040509365</v>
      </c>
      <c r="I15" s="6">
        <f t="shared" si="0"/>
        <v>1742.7612610560179</v>
      </c>
      <c r="J15" s="6">
        <f t="shared" si="0"/>
        <v>1712.7206331214097</v>
      </c>
      <c r="K15" s="6">
        <f t="shared" si="0"/>
        <v>1703.4993234014837</v>
      </c>
      <c r="L15" s="6">
        <f t="shared" si="0"/>
        <v>1664.0290268747776</v>
      </c>
      <c r="M15" s="6">
        <f t="shared" si="0"/>
        <v>1616.9605963599838</v>
      </c>
      <c r="N15" s="6">
        <f t="shared" si="0"/>
        <v>1574.4926300354725</v>
      </c>
      <c r="O15" s="6">
        <f t="shared" si="0"/>
        <v>1619.684657673994</v>
      </c>
      <c r="P15" s="6">
        <f t="shared" si="0"/>
        <v>1603.4633109678023</v>
      </c>
      <c r="Q15" s="6">
        <f t="shared" si="0"/>
        <v>1552.6030715618303</v>
      </c>
      <c r="R15" s="6">
        <f t="shared" si="0"/>
        <v>1571.9522940323923</v>
      </c>
      <c r="S15" s="6">
        <f t="shared" si="0"/>
        <v>1536.1028377515775</v>
      </c>
      <c r="T15" s="6" t="e">
        <f t="shared" si="0"/>
        <v>#DIV/0!</v>
      </c>
      <c r="U15" s="6" t="e">
        <f t="shared" si="0"/>
        <v>#DIV/0!</v>
      </c>
      <c r="V15" s="6" t="e">
        <f t="shared" si="0"/>
        <v>#DIV/0!</v>
      </c>
      <c r="W15" s="6" t="e">
        <f t="shared" si="0"/>
        <v>#DIV/0!</v>
      </c>
      <c r="X15" s="9" t="e">
        <f t="shared" si="0"/>
        <v>#DIV/0!</v>
      </c>
      <c r="Y15" s="9" t="e">
        <f t="shared" si="0"/>
        <v>#DIV/0!</v>
      </c>
      <c r="Z15" s="9" t="e">
        <f t="shared" si="0"/>
        <v>#DIV/0!</v>
      </c>
      <c r="AA15" s="9" t="e">
        <f t="shared" si="0"/>
        <v>#DIV/0!</v>
      </c>
    </row>
    <row r="16" spans="1:27" ht="14.25" customHeight="1" x14ac:dyDescent="0.2">
      <c r="A16" s="8" t="s">
        <v>42</v>
      </c>
      <c r="B16" s="6">
        <f t="shared" ref="B16:AA16" si="1">B5-B7</f>
        <v>7523500000000</v>
      </c>
      <c r="C16" s="6">
        <f t="shared" si="1"/>
        <v>7579543000000</v>
      </c>
      <c r="D16" s="6">
        <f t="shared" si="1"/>
        <v>7155307000000</v>
      </c>
      <c r="E16" s="6">
        <f t="shared" si="1"/>
        <v>6591743000000</v>
      </c>
      <c r="F16" s="6">
        <f t="shared" si="1"/>
        <v>6088571000000</v>
      </c>
      <c r="G16" s="6">
        <f t="shared" si="1"/>
        <v>6219232000000</v>
      </c>
      <c r="H16" s="6">
        <f t="shared" si="1"/>
        <v>5832081000000</v>
      </c>
      <c r="I16" s="6">
        <f t="shared" si="1"/>
        <v>4876157000000</v>
      </c>
      <c r="J16" s="6">
        <f t="shared" si="1"/>
        <v>4568791000000</v>
      </c>
      <c r="K16" s="6">
        <f t="shared" si="1"/>
        <v>4499361000000</v>
      </c>
      <c r="L16" s="6">
        <f t="shared" si="1"/>
        <v>4210075000000</v>
      </c>
      <c r="M16" s="6">
        <f t="shared" si="1"/>
        <v>3717826000000</v>
      </c>
      <c r="N16" s="6">
        <f t="shared" si="1"/>
        <v>3417487000000</v>
      </c>
      <c r="O16" s="6">
        <f t="shared" si="1"/>
        <v>3721340000000</v>
      </c>
      <c r="P16" s="6">
        <f t="shared" si="1"/>
        <v>3626183000000</v>
      </c>
      <c r="Q16" s="6">
        <f t="shared" si="1"/>
        <v>3191614000000</v>
      </c>
      <c r="R16" s="6">
        <f t="shared" si="1"/>
        <v>3336037000000</v>
      </c>
      <c r="S16" s="6">
        <f t="shared" si="1"/>
        <v>3046499000000</v>
      </c>
      <c r="T16" s="6">
        <f t="shared" si="1"/>
        <v>0</v>
      </c>
      <c r="U16" s="6">
        <f t="shared" si="1"/>
        <v>0</v>
      </c>
      <c r="V16" s="6">
        <f t="shared" si="1"/>
        <v>0</v>
      </c>
      <c r="W16" s="6">
        <f t="shared" si="1"/>
        <v>0</v>
      </c>
      <c r="X16" s="9">
        <f t="shared" si="1"/>
        <v>0</v>
      </c>
      <c r="Y16" s="9">
        <f t="shared" si="1"/>
        <v>0</v>
      </c>
      <c r="Z16" s="9">
        <f t="shared" si="1"/>
        <v>0</v>
      </c>
      <c r="AA16" s="9">
        <f t="shared" si="1"/>
        <v>0</v>
      </c>
    </row>
    <row r="17" spans="1:27" ht="14.25" customHeight="1" x14ac:dyDescent="0.2">
      <c r="A17" s="8" t="s">
        <v>43</v>
      </c>
      <c r="B17" s="10">
        <f t="shared" ref="B17:AA17" si="2">B10/B4</f>
        <v>5.4678733871397323E-2</v>
      </c>
      <c r="C17" s="10">
        <f t="shared" si="2"/>
        <v>2.494751804018944E-2</v>
      </c>
      <c r="D17" s="10">
        <f t="shared" si="2"/>
        <v>0.12147661816604899</v>
      </c>
      <c r="E17" s="10">
        <f t="shared" si="2"/>
        <v>8.4370103414797268E-2</v>
      </c>
      <c r="F17" s="10">
        <f t="shared" si="2"/>
        <v>4.8940433383751536E-2</v>
      </c>
      <c r="G17" s="10">
        <f t="shared" si="2"/>
        <v>2.7487304660711739E-2</v>
      </c>
      <c r="H17" s="10">
        <f t="shared" si="2"/>
        <v>0.10669799846206707</v>
      </c>
      <c r="I17" s="10">
        <f t="shared" si="2"/>
        <v>6.1309381259460498E-2</v>
      </c>
      <c r="J17" s="10">
        <f t="shared" si="2"/>
        <v>4.5472903021732944E-2</v>
      </c>
      <c r="K17" s="10">
        <f t="shared" si="2"/>
        <v>2.0943738603353097E-2</v>
      </c>
      <c r="L17" s="10">
        <f t="shared" si="2"/>
        <v>6.0890413876137375E-2</v>
      </c>
      <c r="M17" s="10">
        <f t="shared" si="2"/>
        <v>3.6672756219017118E-2</v>
      </c>
      <c r="N17" s="10">
        <f t="shared" si="2"/>
        <v>1.3301592120084039E-2</v>
      </c>
      <c r="O17" s="10">
        <f t="shared" si="2"/>
        <v>8.9583858949851998E-3</v>
      </c>
      <c r="P17" s="10">
        <f t="shared" si="2"/>
        <v>8.346999395104121E-2</v>
      </c>
      <c r="Q17" s="10">
        <f t="shared" si="2"/>
        <v>6.1615077290341359E-2</v>
      </c>
      <c r="R17" s="10">
        <f t="shared" si="2"/>
        <v>4.3876674849100968E-2</v>
      </c>
      <c r="S17" s="10">
        <f t="shared" si="2"/>
        <v>2.4954876866047308E-2</v>
      </c>
      <c r="T17" s="10" t="e">
        <f t="shared" si="2"/>
        <v>#DIV/0!</v>
      </c>
      <c r="U17" s="10" t="e">
        <f t="shared" si="2"/>
        <v>#DIV/0!</v>
      </c>
      <c r="V17" s="10" t="e">
        <f t="shared" si="2"/>
        <v>#DIV/0!</v>
      </c>
      <c r="W17" s="10" t="e">
        <f t="shared" si="2"/>
        <v>#DIV/0!</v>
      </c>
      <c r="X17" s="10" t="e">
        <f t="shared" si="2"/>
        <v>#DIV/0!</v>
      </c>
      <c r="Y17" s="10" t="e">
        <f t="shared" si="2"/>
        <v>#DIV/0!</v>
      </c>
      <c r="Z17" s="10" t="e">
        <f t="shared" si="2"/>
        <v>#DIV/0!</v>
      </c>
      <c r="AA17" s="10" t="e">
        <f t="shared" si="2"/>
        <v>#DIV/0!</v>
      </c>
    </row>
    <row r="18" spans="1:27" ht="14.25" customHeight="1" x14ac:dyDescent="0.2">
      <c r="A18" s="8" t="s">
        <v>44</v>
      </c>
      <c r="B18" s="10">
        <f t="shared" ref="B18:AA18" si="3">B10/B9</f>
        <v>6.2207790503123278E-2</v>
      </c>
      <c r="C18" s="10">
        <f t="shared" si="3"/>
        <v>2.7404081338299788E-2</v>
      </c>
      <c r="D18" s="10">
        <f t="shared" si="3"/>
        <v>0.13484023438376119</v>
      </c>
      <c r="E18" s="10">
        <f t="shared" si="3"/>
        <v>9.3352595986529813E-2</v>
      </c>
      <c r="F18" s="10">
        <f t="shared" si="3"/>
        <v>5.5689098223375436E-2</v>
      </c>
      <c r="G18" s="10">
        <f t="shared" si="3"/>
        <v>3.0253571724477527E-2</v>
      </c>
      <c r="H18" s="10">
        <f t="shared" si="3"/>
        <v>0.11759591744242023</v>
      </c>
      <c r="I18" s="10">
        <f t="shared" si="3"/>
        <v>6.7590117057079888E-2</v>
      </c>
      <c r="J18" s="10">
        <f t="shared" si="3"/>
        <v>5.1223330670534702E-2</v>
      </c>
      <c r="K18" s="10">
        <f t="shared" si="3"/>
        <v>2.3180370403907656E-2</v>
      </c>
      <c r="L18" s="10">
        <f t="shared" si="3"/>
        <v>6.7144298979840547E-2</v>
      </c>
      <c r="M18" s="10">
        <f t="shared" si="3"/>
        <v>4.1494927324707533E-2</v>
      </c>
      <c r="N18" s="10">
        <f t="shared" si="3"/>
        <v>1.5506450326844437E-2</v>
      </c>
      <c r="O18" s="10">
        <f t="shared" si="3"/>
        <v>1.0135167860124816E-2</v>
      </c>
      <c r="P18" s="10">
        <f t="shared" si="3"/>
        <v>9.4777753534752027E-2</v>
      </c>
      <c r="Q18" s="10">
        <f t="shared" si="3"/>
        <v>7.2175641629938031E-2</v>
      </c>
      <c r="R18" s="10">
        <f t="shared" si="3"/>
        <v>5.1187156609230518E-2</v>
      </c>
      <c r="S18" s="10">
        <f t="shared" si="3"/>
        <v>2.9078195209965171E-2</v>
      </c>
      <c r="T18" s="10" t="e">
        <f t="shared" si="3"/>
        <v>#DIV/0!</v>
      </c>
      <c r="U18" s="10" t="e">
        <f t="shared" si="3"/>
        <v>#DIV/0!</v>
      </c>
      <c r="V18" s="10" t="e">
        <f t="shared" si="3"/>
        <v>#DIV/0!</v>
      </c>
      <c r="W18" s="10" t="e">
        <f t="shared" si="3"/>
        <v>#DIV/0!</v>
      </c>
      <c r="X18" s="10" t="e">
        <f t="shared" si="3"/>
        <v>#DIV/0!</v>
      </c>
      <c r="Y18" s="10" t="e">
        <f t="shared" si="3"/>
        <v>#DIV/0!</v>
      </c>
      <c r="Z18" s="10" t="e">
        <f t="shared" si="3"/>
        <v>#DIV/0!</v>
      </c>
      <c r="AA18" s="10" t="e">
        <f t="shared" si="3"/>
        <v>#DIV/0!</v>
      </c>
    </row>
    <row r="19" spans="1:27" ht="14.25" customHeight="1" x14ac:dyDescent="0.2">
      <c r="A19" s="8" t="s">
        <v>45</v>
      </c>
      <c r="B19" s="11">
        <f t="shared" ref="B19:AA19" si="4">B14/B15</f>
        <v>0.67376964532249761</v>
      </c>
      <c r="C19" s="11">
        <f t="shared" si="4"/>
        <v>0.60886752175672298</v>
      </c>
      <c r="D19" s="11">
        <f t="shared" si="4"/>
        <v>0.72584182166488354</v>
      </c>
      <c r="E19" s="11">
        <f t="shared" si="4"/>
        <v>0.7069063999495433</v>
      </c>
      <c r="F19" s="11">
        <f t="shared" si="4"/>
        <v>0.72030037571979955</v>
      </c>
      <c r="G19" s="11">
        <f t="shared" si="4"/>
        <v>0.68460119873793657</v>
      </c>
      <c r="H19" s="11">
        <f t="shared" si="4"/>
        <v>0.64077062627307213</v>
      </c>
      <c r="I19" s="11">
        <f t="shared" si="4"/>
        <v>0.61683721346239295</v>
      </c>
      <c r="J19" s="11">
        <f t="shared" si="4"/>
        <v>0.51672174836073514</v>
      </c>
      <c r="K19" s="11">
        <f t="shared" si="4"/>
        <v>0.44320534186796401</v>
      </c>
      <c r="L19" s="11">
        <f t="shared" si="4"/>
        <v>0.53484643935058873</v>
      </c>
      <c r="M19" s="11">
        <f t="shared" si="4"/>
        <v>0.57515316210770184</v>
      </c>
      <c r="N19" s="11">
        <f t="shared" si="4"/>
        <v>0.67640837415415911</v>
      </c>
      <c r="O19" s="11">
        <f t="shared" si="4"/>
        <v>0.63283923518296936</v>
      </c>
      <c r="P19" s="11">
        <f t="shared" si="4"/>
        <v>0.60494056419322573</v>
      </c>
      <c r="Q19" s="11">
        <f t="shared" si="4"/>
        <v>0.69238559403248578</v>
      </c>
      <c r="R19" s="11">
        <f t="shared" si="4"/>
        <v>0.75702042900258548</v>
      </c>
      <c r="S19" s="11">
        <f t="shared" si="4"/>
        <v>0.7616677550785278</v>
      </c>
      <c r="T19" s="11" t="e">
        <f t="shared" si="4"/>
        <v>#DIV/0!</v>
      </c>
      <c r="U19" s="11" t="e">
        <f t="shared" si="4"/>
        <v>#DIV/0!</v>
      </c>
      <c r="V19" s="11" t="e">
        <f t="shared" si="4"/>
        <v>#DIV/0!</v>
      </c>
      <c r="W19" s="11" t="e">
        <f t="shared" si="4"/>
        <v>#DIV/0!</v>
      </c>
      <c r="X19" s="9" t="e">
        <f t="shared" si="4"/>
        <v>#DIV/0!</v>
      </c>
      <c r="Y19" s="9" t="e">
        <f t="shared" si="4"/>
        <v>#DIV/0!</v>
      </c>
      <c r="Z19" s="9" t="e">
        <f t="shared" si="4"/>
        <v>#DIV/0!</v>
      </c>
      <c r="AA19" s="9" t="e">
        <f t="shared" si="4"/>
        <v>#DIV/0!</v>
      </c>
    </row>
    <row r="20" spans="1:27" ht="14.25" customHeight="1" x14ac:dyDescent="0.2">
      <c r="A20" s="8" t="s">
        <v>46</v>
      </c>
      <c r="B20" s="11">
        <f t="shared" ref="B20:AA20" si="5">B14/B21</f>
        <v>10.830952841648822</v>
      </c>
      <c r="C20" s="11">
        <f t="shared" si="5"/>
        <v>22.21813292116358</v>
      </c>
      <c r="D20" s="11">
        <f t="shared" si="5"/>
        <v>5.3829765646884447</v>
      </c>
      <c r="E20" s="11">
        <f t="shared" si="5"/>
        <v>7.5724343011472914</v>
      </c>
      <c r="F20" s="11">
        <f t="shared" si="5"/>
        <v>12.934315668581865</v>
      </c>
      <c r="G20" s="11">
        <f t="shared" si="5"/>
        <v>22.628772727156711</v>
      </c>
      <c r="H20" s="11">
        <f t="shared" si="5"/>
        <v>5.4489189778787992</v>
      </c>
      <c r="I20" s="11">
        <f t="shared" si="5"/>
        <v>9.1261450685382535</v>
      </c>
      <c r="J20" s="11">
        <f t="shared" si="5"/>
        <v>10.087624947394723</v>
      </c>
      <c r="K20" s="11">
        <f t="shared" si="5"/>
        <v>19.119855901579992</v>
      </c>
      <c r="L20" s="11">
        <f t="shared" si="5"/>
        <v>7.9656269776704569</v>
      </c>
      <c r="M20" s="11">
        <f t="shared" si="5"/>
        <v>13.860806589851176</v>
      </c>
      <c r="N20" s="11">
        <f t="shared" si="5"/>
        <v>43.621097020713719</v>
      </c>
      <c r="O20" s="11">
        <f t="shared" si="5"/>
        <v>62.439936261221021</v>
      </c>
      <c r="P20" s="11">
        <f t="shared" si="5"/>
        <v>6.3827273978530519</v>
      </c>
      <c r="Q20" s="11">
        <f t="shared" si="5"/>
        <v>9.5930646184278352</v>
      </c>
      <c r="R20" s="11">
        <f t="shared" si="5"/>
        <v>14.78926510377943</v>
      </c>
      <c r="S20" s="11">
        <f t="shared" si="5"/>
        <v>26.193776800064342</v>
      </c>
      <c r="T20" s="11" t="e">
        <f t="shared" si="5"/>
        <v>#DIV/0!</v>
      </c>
      <c r="U20" s="11" t="e">
        <f t="shared" si="5"/>
        <v>#DIV/0!</v>
      </c>
      <c r="V20" s="11" t="e">
        <f t="shared" si="5"/>
        <v>#DIV/0!</v>
      </c>
      <c r="W20" s="11" t="e">
        <f t="shared" si="5"/>
        <v>#DIV/0!</v>
      </c>
      <c r="X20" s="9" t="e">
        <f t="shared" si="5"/>
        <v>#DIV/0!</v>
      </c>
      <c r="Y20" s="9" t="e">
        <f t="shared" si="5"/>
        <v>#DIV/0!</v>
      </c>
      <c r="Z20" s="9" t="e">
        <f t="shared" si="5"/>
        <v>#DIV/0!</v>
      </c>
      <c r="AA20" s="9" t="e">
        <f t="shared" si="5"/>
        <v>#DIV/0!</v>
      </c>
    </row>
    <row r="21" spans="1:27" ht="14.25" customHeight="1" x14ac:dyDescent="0.2">
      <c r="A21" s="8" t="s">
        <v>47</v>
      </c>
      <c r="B21" s="6">
        <f t="shared" ref="B21:AA21" si="6">B10/B13</f>
        <v>130.64409204689983</v>
      </c>
      <c r="C21" s="6">
        <f t="shared" si="6"/>
        <v>57.835642830995518</v>
      </c>
      <c r="D21" s="6">
        <f t="shared" si="6"/>
        <v>276.79852997581054</v>
      </c>
      <c r="E21" s="6">
        <f t="shared" si="6"/>
        <v>182.90023325658436</v>
      </c>
      <c r="F21" s="6">
        <f t="shared" si="6"/>
        <v>104.76008431519624</v>
      </c>
      <c r="G21" s="6">
        <f t="shared" si="6"/>
        <v>57.448983896500692</v>
      </c>
      <c r="H21" s="6">
        <f t="shared" si="6"/>
        <v>216.55671607349908</v>
      </c>
      <c r="I21" s="6">
        <f t="shared" si="6"/>
        <v>117.79343763732042</v>
      </c>
      <c r="J21" s="6">
        <f t="shared" si="6"/>
        <v>87.731255336625523</v>
      </c>
      <c r="K21" s="6">
        <f t="shared" si="6"/>
        <v>39.487745299252474</v>
      </c>
      <c r="L21" s="6">
        <f t="shared" si="6"/>
        <v>111.73006249161318</v>
      </c>
      <c r="M21" s="6">
        <f t="shared" si="6"/>
        <v>67.095662432873283</v>
      </c>
      <c r="N21" s="6">
        <f t="shared" si="6"/>
        <v>24.414791757627711</v>
      </c>
      <c r="O21" s="6">
        <f t="shared" si="6"/>
        <v>16.41577588599473</v>
      </c>
      <c r="P21" s="6">
        <f t="shared" si="6"/>
        <v>151.97265048892382</v>
      </c>
      <c r="Q21" s="6">
        <f t="shared" si="6"/>
        <v>112.06012288658772</v>
      </c>
      <c r="R21" s="6">
        <f t="shared" si="6"/>
        <v>80.463768256875241</v>
      </c>
      <c r="S21" s="6">
        <f t="shared" si="6"/>
        <v>44.66709817872183</v>
      </c>
      <c r="T21" s="6" t="e">
        <f t="shared" si="6"/>
        <v>#DIV/0!</v>
      </c>
      <c r="U21" s="6" t="e">
        <f t="shared" si="6"/>
        <v>#DIV/0!</v>
      </c>
      <c r="V21" s="6" t="e">
        <f t="shared" si="6"/>
        <v>#DIV/0!</v>
      </c>
      <c r="W21" s="6" t="e">
        <f t="shared" si="6"/>
        <v>#DIV/0!</v>
      </c>
      <c r="X21" s="9" t="e">
        <f t="shared" si="6"/>
        <v>#DIV/0!</v>
      </c>
      <c r="Y21" s="9" t="e">
        <f t="shared" si="6"/>
        <v>#DIV/0!</v>
      </c>
      <c r="Z21" s="9" t="e">
        <f t="shared" si="6"/>
        <v>#DIV/0!</v>
      </c>
      <c r="AA21" s="9" t="e">
        <f t="shared" si="6"/>
        <v>#DIV/0!</v>
      </c>
    </row>
    <row r="22" spans="1:27" ht="14.25" customHeight="1" x14ac:dyDescent="0.2">
      <c r="A22" s="8" t="s">
        <v>48</v>
      </c>
      <c r="B22" s="10">
        <f t="shared" ref="B22:AA22" si="7">B7/B9</f>
        <v>0.1380147641811236</v>
      </c>
      <c r="C22" s="10">
        <f t="shared" si="7"/>
        <v>9.8758754640245056E-2</v>
      </c>
      <c r="D22" s="10">
        <f t="shared" si="7"/>
        <v>0.11028356823662035</v>
      </c>
      <c r="E22" s="10">
        <f t="shared" si="7"/>
        <v>0.10671838166172265</v>
      </c>
      <c r="F22" s="10">
        <f t="shared" si="7"/>
        <v>0.13813088193008566</v>
      </c>
      <c r="G22" s="10">
        <f t="shared" si="7"/>
        <v>0.10084909992535444</v>
      </c>
      <c r="H22" s="10">
        <f t="shared" si="7"/>
        <v>0.10233163200226511</v>
      </c>
      <c r="I22" s="10">
        <f t="shared" si="7"/>
        <v>0.10261544903739989</v>
      </c>
      <c r="J22" s="10">
        <f t="shared" si="7"/>
        <v>0.12660241990779142</v>
      </c>
      <c r="K22" s="10">
        <f t="shared" si="7"/>
        <v>0.10691564429904309</v>
      </c>
      <c r="L22" s="10">
        <f t="shared" si="7"/>
        <v>0.10281093257346401</v>
      </c>
      <c r="M22" s="10">
        <f t="shared" si="7"/>
        <v>0.13157706930774593</v>
      </c>
      <c r="N22" s="10">
        <f t="shared" si="7"/>
        <v>0.16582332082291432</v>
      </c>
      <c r="O22" s="10">
        <f t="shared" si="7"/>
        <v>0.13138501769523991</v>
      </c>
      <c r="P22" s="10">
        <f t="shared" si="7"/>
        <v>0.13545769298368021</v>
      </c>
      <c r="Q22" s="10">
        <f t="shared" si="7"/>
        <v>0.17135658901184914</v>
      </c>
      <c r="R22" s="10">
        <f t="shared" si="7"/>
        <v>0.16655255675537825</v>
      </c>
      <c r="S22" s="10">
        <f t="shared" si="7"/>
        <v>0.16513474490572219</v>
      </c>
      <c r="T22" s="10" t="e">
        <f t="shared" si="7"/>
        <v>#DIV/0!</v>
      </c>
      <c r="U22" s="10" t="e">
        <f t="shared" si="7"/>
        <v>#DIV/0!</v>
      </c>
      <c r="V22" s="10" t="e">
        <f t="shared" si="7"/>
        <v>#DIV/0!</v>
      </c>
      <c r="W22" s="10" t="e">
        <f t="shared" si="7"/>
        <v>#DIV/0!</v>
      </c>
      <c r="X22" s="10" t="e">
        <f t="shared" si="7"/>
        <v>#DIV/0!</v>
      </c>
      <c r="Y22" s="10" t="e">
        <f t="shared" si="7"/>
        <v>#DIV/0!</v>
      </c>
      <c r="Z22" s="10" t="e">
        <f t="shared" si="7"/>
        <v>#DIV/0!</v>
      </c>
      <c r="AA22" s="10" t="e">
        <f t="shared" si="7"/>
        <v>#DIV/0!</v>
      </c>
    </row>
    <row r="23" spans="1:27" ht="14.25" customHeight="1" x14ac:dyDescent="0.2"/>
    <row r="24" spans="1:27" ht="14.25" customHeight="1" x14ac:dyDescent="0.2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7" ht="14.25" customHeight="1" x14ac:dyDescent="0.2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27" ht="14.25" customHeight="1" x14ac:dyDescent="0.2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8"/>
    </row>
    <row r="27" spans="1:27" ht="14.2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7" ht="14.25" customHeight="1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1:27" ht="14.25" customHeight="1" x14ac:dyDescent="0.2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7" ht="14.25" customHeight="1" x14ac:dyDescent="0.2"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27" ht="14.2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27" ht="14.25" customHeight="1" x14ac:dyDescent="0.2"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2:19" ht="14.25" customHeight="1" x14ac:dyDescent="0.2"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2:19" ht="14.25" customHeight="1" x14ac:dyDescent="0.2"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2:19" ht="14.2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2:19" ht="14.25" customHeight="1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2:19" ht="14.25" customHeight="1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2:19" ht="14.25" customHeight="1" x14ac:dyDescent="0.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2:19" ht="14.25" customHeight="1" x14ac:dyDescent="0.2"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2:19" ht="14.25" customHeight="1" x14ac:dyDescent="0.2"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2:19" ht="14.25" customHeight="1" x14ac:dyDescent="0.2"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2:19" ht="14.25" customHeight="1" x14ac:dyDescent="0.2"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2:19" ht="14.25" customHeight="1" x14ac:dyDescent="0.2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2:19" ht="14.25" customHeight="1" x14ac:dyDescent="0.2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2:19" ht="14.25" customHeight="1" x14ac:dyDescent="0.2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2:19" ht="14.25" customHeight="1" x14ac:dyDescent="0.2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2:19" ht="14.25" customHeight="1" x14ac:dyDescent="0.2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2:19" ht="14.25" customHeight="1" x14ac:dyDescent="0.2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2:19" ht="14.25" customHeight="1" x14ac:dyDescent="0.2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2:19" ht="14.25" customHeight="1" x14ac:dyDescent="0.2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2:19" ht="14.25" customHeight="1" x14ac:dyDescent="0.2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spans="2:19" ht="14.25" customHeight="1" x14ac:dyDescent="0.2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2:19" ht="14.25" customHeight="1" x14ac:dyDescent="0.2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2:19" ht="14.25" customHeight="1" x14ac:dyDescent="0.2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2:19" ht="14.25" customHeight="1" x14ac:dyDescent="0.2"/>
    <row r="56" spans="2:19" ht="14.25" customHeight="1" x14ac:dyDescent="0.2"/>
    <row r="57" spans="2:19" ht="14.25" customHeight="1" x14ac:dyDescent="0.2"/>
    <row r="58" spans="2:19" ht="14.25" customHeight="1" x14ac:dyDescent="0.2"/>
    <row r="59" spans="2:19" ht="14.25" customHeight="1" x14ac:dyDescent="0.2"/>
    <row r="60" spans="2:19" ht="14.25" customHeight="1" x14ac:dyDescent="0.2"/>
    <row r="61" spans="2:19" ht="14.25" customHeight="1" x14ac:dyDescent="0.2"/>
    <row r="62" spans="2:19" ht="14.25" customHeight="1" x14ac:dyDescent="0.2"/>
    <row r="63" spans="2:19" ht="14.25" customHeight="1" x14ac:dyDescent="0.2"/>
    <row r="64" spans="2:19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2" sqref="H2"/>
    </sheetView>
  </sheetViews>
  <sheetFormatPr baseColWidth="10" defaultRowHeight="15" x14ac:dyDescent="0.2"/>
  <cols>
    <col min="3" max="3" width="11.83203125" bestFit="1" customWidth="1"/>
    <col min="4" max="4" width="19.33203125" bestFit="1" customWidth="1"/>
    <col min="6" max="8" width="17.33203125" bestFit="1" customWidth="1"/>
  </cols>
  <sheetData>
    <row r="1" spans="1:8" x14ac:dyDescent="0.2">
      <c r="A1" t="s">
        <v>49</v>
      </c>
      <c r="B1" t="s">
        <v>50</v>
      </c>
      <c r="C1" t="s">
        <v>51</v>
      </c>
      <c r="D1" t="s">
        <v>52</v>
      </c>
    </row>
    <row r="2" spans="1:8" x14ac:dyDescent="0.2">
      <c r="A2" s="14">
        <v>6.7299999999999999E-2</v>
      </c>
      <c r="B2">
        <f>1000/A2</f>
        <v>14858.841010401189</v>
      </c>
      <c r="C2" s="15">
        <v>247029168</v>
      </c>
      <c r="D2" s="12">
        <f>B2*C2</f>
        <v>3670567132243.6851</v>
      </c>
      <c r="F2" s="16">
        <v>3868963000000</v>
      </c>
      <c r="G2" s="16">
        <v>555246000000</v>
      </c>
      <c r="H2" s="13">
        <f>F2+G2</f>
        <v>4424209000000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"/>
  <sheetViews>
    <sheetView workbookViewId="0"/>
  </sheetViews>
  <sheetFormatPr baseColWidth="10" defaultColWidth="12.6640625" defaultRowHeight="15" customHeight="1" x14ac:dyDescent="0.2"/>
  <cols>
    <col min="1" max="1" width="27.83203125" customWidth="1"/>
    <col min="2" max="2" width="25.1640625" customWidth="1"/>
    <col min="3" max="3" width="24.5" customWidth="1"/>
  </cols>
  <sheetData>
    <row r="1" spans="1:4" x14ac:dyDescent="0.2">
      <c r="A1" s="1" t="s">
        <v>53</v>
      </c>
      <c r="B1" s="1" t="s">
        <v>54</v>
      </c>
      <c r="C1" s="1" t="s">
        <v>55</v>
      </c>
      <c r="D1" s="1" t="s">
        <v>55</v>
      </c>
    </row>
    <row r="2" spans="1:4" x14ac:dyDescent="0.2">
      <c r="A2" s="3" t="s">
        <v>56</v>
      </c>
      <c r="B2" s="1" t="s">
        <v>57</v>
      </c>
      <c r="C2" s="1">
        <v>3734</v>
      </c>
      <c r="D2" s="1" t="s">
        <v>58</v>
      </c>
    </row>
    <row r="3" spans="1:4" x14ac:dyDescent="0.2">
      <c r="A3" s="1" t="s">
        <v>59</v>
      </c>
      <c r="B3" s="1" t="s">
        <v>60</v>
      </c>
      <c r="C3" s="1">
        <v>6365</v>
      </c>
      <c r="D3" s="1" t="s">
        <v>58</v>
      </c>
    </row>
    <row r="4" spans="1:4" x14ac:dyDescent="0.2">
      <c r="A4" s="3" t="s">
        <v>61</v>
      </c>
      <c r="B4" s="3" t="s">
        <v>62</v>
      </c>
      <c r="C4" s="3">
        <v>6267</v>
      </c>
      <c r="D4" s="1" t="s">
        <v>58</v>
      </c>
    </row>
    <row r="5" spans="1:4" x14ac:dyDescent="0.2">
      <c r="A5" s="3" t="s">
        <v>63</v>
      </c>
      <c r="B5" s="3" t="s">
        <v>64</v>
      </c>
      <c r="C5" s="3">
        <v>5029</v>
      </c>
      <c r="D5" s="1" t="s">
        <v>58</v>
      </c>
    </row>
    <row r="6" spans="1:4" x14ac:dyDescent="0.2">
      <c r="A6" s="3" t="s">
        <v>65</v>
      </c>
      <c r="B6" s="3" t="s">
        <v>64</v>
      </c>
      <c r="C6" s="3">
        <v>10794</v>
      </c>
      <c r="D6" s="1" t="s">
        <v>58</v>
      </c>
    </row>
    <row r="7" spans="1:4" x14ac:dyDescent="0.2">
      <c r="A7" s="3" t="s">
        <v>66</v>
      </c>
      <c r="B7" s="3" t="s">
        <v>64</v>
      </c>
      <c r="C7" s="3">
        <v>3356</v>
      </c>
      <c r="D7" s="1" t="s">
        <v>58</v>
      </c>
    </row>
    <row r="8" spans="1:4" x14ac:dyDescent="0.2">
      <c r="A8" s="1" t="s">
        <v>67</v>
      </c>
      <c r="B8" s="3" t="s">
        <v>64</v>
      </c>
      <c r="C8" s="3">
        <v>16348</v>
      </c>
      <c r="D8" s="1" t="s">
        <v>58</v>
      </c>
    </row>
    <row r="9" spans="1:4" x14ac:dyDescent="0.2">
      <c r="A9" s="3" t="s">
        <v>68</v>
      </c>
      <c r="B9" s="3" t="s">
        <v>69</v>
      </c>
      <c r="C9" s="3">
        <v>1528</v>
      </c>
      <c r="D9" s="1" t="s">
        <v>58</v>
      </c>
    </row>
    <row r="10" spans="1:4" x14ac:dyDescent="0.2">
      <c r="A10" s="3" t="s">
        <v>70</v>
      </c>
      <c r="B10" s="3" t="s">
        <v>69</v>
      </c>
      <c r="C10" s="3">
        <v>11009</v>
      </c>
      <c r="D10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lokasi kebun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Digitaloffice05679</dc:creator>
  <cp:lastModifiedBy>Muhammad Najmi Rahmani</cp:lastModifiedBy>
  <dcterms:created xsi:type="dcterms:W3CDTF">2025-11-28T07:59:29Z</dcterms:created>
  <dcterms:modified xsi:type="dcterms:W3CDTF">2026-09-15T11:19:48Z</dcterms:modified>
</cp:coreProperties>
</file>