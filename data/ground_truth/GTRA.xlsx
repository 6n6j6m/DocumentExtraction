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muhammadnajmirahmani/Belajar/ProjectDatasaur/data/ground_truth/"/>
    </mc:Choice>
  </mc:AlternateContent>
  <xr:revisionPtr revIDLastSave="0" documentId="13_ncr:1_{879004C8-28E9-F842-9BE9-6BFE49CD0376}" xr6:coauthVersionLast="47" xr6:coauthVersionMax="47" xr10:uidLastSave="{00000000-0000-0000-0000-000000000000}"/>
  <bookViews>
    <workbookView xWindow="0" yWindow="660" windowWidth="29300" windowHeight="18980" xr2:uid="{00000000-000D-0000-FFFF-FFFF00000000}"/>
  </bookViews>
  <sheets>
    <sheet name="Sheet1" sheetId="1" r:id="rId1"/>
    <sheet name="Sheet2" sheetId="2" r:id="rId2"/>
    <sheet name="lokasi keb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B2" i="2"/>
  <c r="D2" i="2" s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A21" i="1"/>
  <c r="Z21" i="1"/>
  <c r="Y21" i="1"/>
  <c r="X21" i="1"/>
  <c r="W21" i="1"/>
  <c r="V21" i="1"/>
  <c r="V20" i="1" s="1"/>
  <c r="U21" i="1"/>
  <c r="U20" i="1" s="1"/>
  <c r="T21" i="1"/>
  <c r="T20" i="1" s="1"/>
  <c r="S21" i="1"/>
  <c r="R21" i="1"/>
  <c r="Q21" i="1"/>
  <c r="P21" i="1"/>
  <c r="P20" i="1" s="1"/>
  <c r="O21" i="1"/>
  <c r="N21" i="1"/>
  <c r="M21" i="1"/>
  <c r="L21" i="1"/>
  <c r="L20" i="1" s="1"/>
  <c r="K21" i="1"/>
  <c r="K20" i="1" s="1"/>
  <c r="J21" i="1"/>
  <c r="J20" i="1" s="1"/>
  <c r="I21" i="1"/>
  <c r="H21" i="1"/>
  <c r="G21" i="1"/>
  <c r="F21" i="1"/>
  <c r="E21" i="1"/>
  <c r="D21" i="1"/>
  <c r="C21" i="1"/>
  <c r="B21" i="1"/>
  <c r="B20" i="1" s="1"/>
  <c r="AA20" i="1"/>
  <c r="Z20" i="1"/>
  <c r="Y20" i="1"/>
  <c r="X20" i="1"/>
  <c r="W20" i="1"/>
  <c r="S20" i="1"/>
  <c r="R20" i="1"/>
  <c r="Q20" i="1"/>
  <c r="O20" i="1"/>
  <c r="N20" i="1"/>
  <c r="M20" i="1"/>
  <c r="I20" i="1"/>
  <c r="H20" i="1"/>
  <c r="G20" i="1"/>
  <c r="F20" i="1"/>
  <c r="E20" i="1"/>
  <c r="D20" i="1"/>
  <c r="C20" i="1"/>
  <c r="Y19" i="1"/>
  <c r="V19" i="1"/>
  <c r="U19" i="1"/>
  <c r="T19" i="1"/>
  <c r="S19" i="1"/>
  <c r="L19" i="1"/>
  <c r="B19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A15" i="1"/>
  <c r="AA19" i="1" s="1"/>
  <c r="Z15" i="1"/>
  <c r="Z19" i="1" s="1"/>
  <c r="Y15" i="1"/>
  <c r="X15" i="1"/>
  <c r="X19" i="1" s="1"/>
  <c r="W15" i="1"/>
  <c r="W19" i="1" s="1"/>
  <c r="V15" i="1"/>
  <c r="U15" i="1"/>
  <c r="T15" i="1"/>
  <c r="S15" i="1"/>
  <c r="R15" i="1"/>
  <c r="R19" i="1" s="1"/>
  <c r="Q15" i="1"/>
  <c r="Q19" i="1" s="1"/>
  <c r="P15" i="1"/>
  <c r="P19" i="1" s="1"/>
  <c r="O15" i="1"/>
  <c r="O19" i="1" s="1"/>
  <c r="N15" i="1"/>
  <c r="N19" i="1" s="1"/>
  <c r="M15" i="1"/>
  <c r="M19" i="1" s="1"/>
  <c r="L15" i="1"/>
  <c r="K15" i="1"/>
  <c r="K19" i="1" s="1"/>
  <c r="J15" i="1"/>
  <c r="J19" i="1" s="1"/>
  <c r="I15" i="1"/>
  <c r="I19" i="1" s="1"/>
  <c r="H15" i="1"/>
  <c r="H19" i="1" s="1"/>
  <c r="G15" i="1"/>
  <c r="G19" i="1" s="1"/>
  <c r="F15" i="1"/>
  <c r="F19" i="1" s="1"/>
  <c r="E15" i="1"/>
  <c r="E19" i="1" s="1"/>
  <c r="D15" i="1"/>
  <c r="D19" i="1" s="1"/>
  <c r="C15" i="1"/>
  <c r="C19" i="1" s="1"/>
  <c r="B15" i="1"/>
</calcChain>
</file>

<file path=xl/sharedStrings.xml><?xml version="1.0" encoding="utf-8"?>
<sst xmlns="http://schemas.openxmlformats.org/spreadsheetml/2006/main" count="84" uniqueCount="71">
  <si>
    <t>(HANYA YANG BISA DIATRIBUSIKAN KE ENTITAS INDUK SAJA)</t>
  </si>
  <si>
    <t>GTRA</t>
  </si>
  <si>
    <t>DINYATAKAN DALAM RUPIAH</t>
  </si>
  <si>
    <t>kecuali nilai nominal dan data saham</t>
  </si>
  <si>
    <t>Q2 2026</t>
  </si>
  <si>
    <t>Q1 2026</t>
  </si>
  <si>
    <t>Q4 2025</t>
  </si>
  <si>
    <t>Q3 2025</t>
  </si>
  <si>
    <t>Q2 2025</t>
  </si>
  <si>
    <t>Q1 2025</t>
  </si>
  <si>
    <t>TAHUNAN 2024</t>
  </si>
  <si>
    <t>Q3 2024</t>
  </si>
  <si>
    <t>Q2 2024</t>
  </si>
  <si>
    <t>Q1 2024</t>
  </si>
  <si>
    <t>TAHUNAN 2023</t>
  </si>
  <si>
    <t>Q3 2023</t>
  </si>
  <si>
    <t>Q2 2023</t>
  </si>
  <si>
    <t>Q1 2023</t>
  </si>
  <si>
    <t>TAHUNAN 2022</t>
  </si>
  <si>
    <t>Q3 2022</t>
  </si>
  <si>
    <t>Q2 2022</t>
  </si>
  <si>
    <t>Q1 2022</t>
  </si>
  <si>
    <t>TAHUNAN 2021</t>
  </si>
  <si>
    <t>Q3 2021</t>
  </si>
  <si>
    <t>Q2 2021</t>
  </si>
  <si>
    <t>Q1 2021</t>
  </si>
  <si>
    <t>TAHUNAN 2020</t>
  </si>
  <si>
    <t>Q3 2020</t>
  </si>
  <si>
    <t>Q2 2020</t>
  </si>
  <si>
    <t>Q1 2020</t>
  </si>
  <si>
    <t>Aset</t>
  </si>
  <si>
    <t>total aset lancar</t>
  </si>
  <si>
    <t>KAS</t>
  </si>
  <si>
    <t>liabilitas</t>
  </si>
  <si>
    <t>Utang Bank SAJA Jangka Pendek + Panjang jatuh tempo</t>
  </si>
  <si>
    <t>ekuitas</t>
  </si>
  <si>
    <t>laba bersih</t>
  </si>
  <si>
    <t>pendapatan dari kontrak dengan pelanggan</t>
  </si>
  <si>
    <t>kas dari aktivitas operasi</t>
  </si>
  <si>
    <t>total share</t>
  </si>
  <si>
    <t>Harga saham rupiah</t>
  </si>
  <si>
    <t>Book Value per share</t>
  </si>
  <si>
    <t>P1</t>
  </si>
  <si>
    <t>ROA</t>
  </si>
  <si>
    <t>ROE</t>
  </si>
  <si>
    <t>PBV</t>
  </si>
  <si>
    <t>PE</t>
  </si>
  <si>
    <t>EPS</t>
  </si>
  <si>
    <t>DER</t>
  </si>
  <si>
    <t>Kurs</t>
  </si>
  <si>
    <t>USD to IDR</t>
  </si>
  <si>
    <t>Value</t>
  </si>
  <si>
    <t>Converted</t>
  </si>
  <si>
    <t>Perusahaan</t>
  </si>
  <si>
    <t xml:space="preserve">Lokasi </t>
  </si>
  <si>
    <t>Luasan</t>
  </si>
  <si>
    <t>PT Cipta Davia Mandiri</t>
  </si>
  <si>
    <t xml:space="preserve">Kutai Timur, Kaltim </t>
  </si>
  <si>
    <t>Hektar</t>
  </si>
  <si>
    <t>PT Cahaya Anugrah Plantation</t>
  </si>
  <si>
    <t>Kutai Kartanegara, Kaltim</t>
  </si>
  <si>
    <t>Multi Jayantara Abadi</t>
  </si>
  <si>
    <t>Paser, Kaltim</t>
  </si>
  <si>
    <t>Gemilang Sejahtera Abadi</t>
  </si>
  <si>
    <t>Kutai Timur, Kaltim</t>
  </si>
  <si>
    <t>Telen Prima Sawit</t>
  </si>
  <si>
    <t>Sawit Prima Nusantara</t>
  </si>
  <si>
    <t xml:space="preserve"> Telen</t>
  </si>
  <si>
    <t>Inti Energi Kaltim</t>
  </si>
  <si>
    <t>Berau, Kaltim</t>
  </si>
  <si>
    <t>Tanjung Buyu Perkasa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</si>
</sst>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_ "/>
  </numFmts>
  <fonts count="8" x14ac:knownFonts="1"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Tahoma"/>
      <family val="2"/>
    </font>
    <font>
      <sz val="11"/>
      <color theme="1"/>
      <name val="Aptos Narrow"/>
      <scheme val="minor"/>
    </font>
    <font>
      <sz val="9"/>
      <color rgb="FF000000"/>
      <name val="Helvetica"/>
      <family val="2"/>
    </font>
    <font>
      <sz val="8"/>
      <color rgb="FF000000"/>
      <name val="Arial"/>
      <family val="2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164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2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horizontal="center"/>
    </xf>
    <xf numFmtId="43" fontId="2" fillId="0" borderId="0" xfId="0" applyNumberFormat="1" applyFont="1" applyAlignment="1">
      <alignment horizontal="center"/>
    </xf>
    <xf numFmtId="41" fontId="0" fillId="0" borderId="0" xfId="1" applyFont="1"/>
    <xf numFmtId="41" fontId="0" fillId="0" borderId="0" xfId="0" applyNumberFormat="1"/>
    <xf numFmtId="0" fontId="4" fillId="0" borderId="0" xfId="0" applyFont="1"/>
    <xf numFmtId="3" fontId="4" fillId="0" borderId="0" xfId="0" applyNumberFormat="1" applyFont="1"/>
    <xf numFmtId="3" fontId="5" fillId="0" borderId="0" xfId="0" applyNumberFormat="1" applyFont="1"/>
    <xf numFmtId="0" fontId="6" fillId="0" borderId="0" xfId="0" applyFont="1"/>
    <xf numFmtId="41" fontId="6" fillId="0" borderId="0" xfId="1" applyFont="1"/>
    <xf numFmtId="0" fontId="7" fillId="0" borderId="0" xfId="0" applyFont="1"/>
    <xf numFmtId="41" fontId="3" fillId="0" borderId="0" xfId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workbookViewId="0">
      <pane xSplit="1" topLeftCell="B1" activePane="topRight" state="frozen"/>
      <selection pane="topRight" activeCell="G26" sqref="G26"/>
    </sheetView>
  </sheetViews>
  <sheetFormatPr baseColWidth="10" defaultColWidth="12.6640625" defaultRowHeight="15" customHeight="1" x14ac:dyDescent="0.2"/>
  <cols>
    <col min="1" max="1" width="59.6640625" customWidth="1"/>
    <col min="2" max="2" width="20.5" customWidth="1"/>
    <col min="3" max="3" width="19.5" customWidth="1"/>
    <col min="4" max="4" width="22.5" customWidth="1"/>
    <col min="5" max="7" width="19.5" customWidth="1"/>
    <col min="8" max="8" width="18.33203125" bestFit="1" customWidth="1"/>
    <col min="9" max="9" width="19.5" customWidth="1"/>
    <col min="10" max="15" width="18.33203125" bestFit="1" customWidth="1"/>
    <col min="16" max="17" width="18.6640625" bestFit="1" customWidth="1"/>
    <col min="18" max="18" width="32.83203125" bestFit="1" customWidth="1"/>
    <col min="19" max="19" width="18.6640625" bestFit="1" customWidth="1"/>
    <col min="20" max="20" width="15" bestFit="1" customWidth="1"/>
    <col min="21" max="23" width="8.6640625" customWidth="1"/>
    <col min="24" max="24" width="15" bestFit="1" customWidth="1"/>
    <col min="25" max="27" width="8.6640625" customWidth="1"/>
  </cols>
  <sheetData>
    <row r="1" spans="1:27" ht="14.25" customHeight="1" x14ac:dyDescent="0.2">
      <c r="A1" s="2" t="s">
        <v>0</v>
      </c>
      <c r="D1" s="4" t="s">
        <v>1</v>
      </c>
      <c r="E1" s="2"/>
      <c r="F1" s="2"/>
      <c r="G1" s="2"/>
      <c r="H1" s="2"/>
      <c r="I1" s="2"/>
      <c r="J1" s="2"/>
      <c r="K1" s="2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7" ht="14.25" customHeight="1" x14ac:dyDescent="0.2">
      <c r="A2" s="2" t="s">
        <v>2</v>
      </c>
      <c r="D2" s="4"/>
      <c r="E2" s="2"/>
      <c r="F2" s="2" t="s">
        <v>3</v>
      </c>
      <c r="G2" s="2"/>
      <c r="H2" s="2"/>
      <c r="I2" s="2"/>
      <c r="J2" s="2"/>
      <c r="K2" s="2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7" ht="14.25" customHeight="1" x14ac:dyDescent="0.2">
      <c r="A3" s="2"/>
      <c r="B3" s="1" t="s">
        <v>4</v>
      </c>
      <c r="C3" s="1" t="s">
        <v>5</v>
      </c>
      <c r="D3" s="1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  <c r="Y3" s="6" t="s">
        <v>27</v>
      </c>
      <c r="Z3" s="6" t="s">
        <v>28</v>
      </c>
      <c r="AA3" s="6" t="s">
        <v>29</v>
      </c>
    </row>
    <row r="4" spans="1:27" ht="14.25" customHeight="1" x14ac:dyDescent="0.2">
      <c r="A4" s="2" t="s">
        <v>30</v>
      </c>
      <c r="B4" s="20">
        <v>1740079004309</v>
      </c>
      <c r="C4" s="20">
        <v>1414582709919</v>
      </c>
      <c r="D4" s="20">
        <v>1242804936571</v>
      </c>
      <c r="E4" s="20">
        <v>1092421914566</v>
      </c>
      <c r="F4" s="20">
        <v>1021734463181</v>
      </c>
      <c r="G4" s="20">
        <v>1020153134914</v>
      </c>
      <c r="H4" s="20">
        <v>989890084157</v>
      </c>
      <c r="I4" s="20">
        <v>969955345450</v>
      </c>
      <c r="J4" s="20">
        <v>973186701838</v>
      </c>
      <c r="K4" s="20">
        <v>1009256528341</v>
      </c>
      <c r="L4" s="20">
        <v>941311157349</v>
      </c>
      <c r="M4" s="20">
        <v>921720459761</v>
      </c>
      <c r="N4" s="20">
        <v>813614754558</v>
      </c>
      <c r="O4" s="20">
        <v>737307899123</v>
      </c>
      <c r="P4" s="20">
        <v>684826152989</v>
      </c>
      <c r="Q4" s="20"/>
      <c r="R4" s="20"/>
      <c r="S4" s="18"/>
      <c r="T4" s="5"/>
      <c r="U4" s="7"/>
      <c r="V4" s="7"/>
      <c r="W4" s="7"/>
      <c r="X4" s="7"/>
      <c r="Y4" s="7"/>
      <c r="Z4" s="7"/>
      <c r="AA4" s="7"/>
    </row>
    <row r="5" spans="1:27" ht="14.25" customHeight="1" x14ac:dyDescent="0.2">
      <c r="A5" s="2" t="s">
        <v>31</v>
      </c>
      <c r="B5" s="20">
        <v>357569040589</v>
      </c>
      <c r="C5" s="20">
        <v>279945979244</v>
      </c>
      <c r="D5" s="20">
        <v>285904361224</v>
      </c>
      <c r="E5" s="20">
        <v>256084951495</v>
      </c>
      <c r="F5" s="20">
        <v>240605013483</v>
      </c>
      <c r="G5" s="20">
        <v>224998895107</v>
      </c>
      <c r="H5" s="20">
        <v>193749178955</v>
      </c>
      <c r="I5" s="20">
        <v>161089530656</v>
      </c>
      <c r="J5" s="20">
        <v>149381817741</v>
      </c>
      <c r="K5" s="20">
        <v>178242590275</v>
      </c>
      <c r="L5" s="20">
        <v>121176804224</v>
      </c>
      <c r="M5" s="20">
        <v>110953728308</v>
      </c>
      <c r="N5" s="20">
        <v>102188935358</v>
      </c>
      <c r="O5" s="20">
        <v>97760865990</v>
      </c>
      <c r="P5" s="20">
        <v>73761021797</v>
      </c>
      <c r="Q5" s="20"/>
      <c r="R5" s="20"/>
      <c r="S5" s="18"/>
      <c r="T5" s="5"/>
      <c r="U5" s="7"/>
      <c r="V5" s="7"/>
      <c r="W5" s="7"/>
      <c r="X5" s="7"/>
      <c r="Y5" s="7"/>
      <c r="Z5" s="7"/>
      <c r="AA5" s="7"/>
    </row>
    <row r="6" spans="1:27" ht="14.25" customHeight="1" x14ac:dyDescent="0.2">
      <c r="A6" s="2" t="s">
        <v>32</v>
      </c>
      <c r="B6" s="20">
        <v>29716666451</v>
      </c>
      <c r="C6" s="20">
        <v>20409301364</v>
      </c>
      <c r="D6" s="20">
        <v>19695706377</v>
      </c>
      <c r="E6" s="20">
        <v>14653796710</v>
      </c>
      <c r="F6" s="20">
        <v>14112835723</v>
      </c>
      <c r="G6" s="20">
        <v>13769104184</v>
      </c>
      <c r="H6" s="20">
        <v>8528119944</v>
      </c>
      <c r="I6" s="20">
        <v>9393862468</v>
      </c>
      <c r="J6" s="20">
        <v>8765089846</v>
      </c>
      <c r="K6" s="20">
        <v>60303440517</v>
      </c>
      <c r="L6" s="20">
        <v>16057258132</v>
      </c>
      <c r="M6" s="20">
        <v>12850012053</v>
      </c>
      <c r="N6" s="20">
        <v>11051322582</v>
      </c>
      <c r="O6" s="20">
        <v>25751037598</v>
      </c>
      <c r="P6" s="20">
        <v>8759584740</v>
      </c>
      <c r="Q6" s="20"/>
      <c r="R6" s="20"/>
      <c r="S6" s="18"/>
      <c r="T6" s="5"/>
      <c r="U6" s="7"/>
      <c r="V6" s="7"/>
      <c r="W6" s="7"/>
      <c r="X6" s="7"/>
      <c r="Y6" s="7"/>
      <c r="Z6" s="7"/>
      <c r="AA6" s="7"/>
    </row>
    <row r="7" spans="1:27" ht="14.25" customHeight="1" x14ac:dyDescent="0.2">
      <c r="A7" s="2" t="s">
        <v>33</v>
      </c>
      <c r="B7" s="20">
        <v>1298825565646</v>
      </c>
      <c r="C7" s="20">
        <v>1007851247418</v>
      </c>
      <c r="D7" s="20">
        <v>856251177156</v>
      </c>
      <c r="E7" s="20">
        <v>730612108307</v>
      </c>
      <c r="F7" s="20">
        <v>672036868836</v>
      </c>
      <c r="G7" s="20">
        <v>681840780948</v>
      </c>
      <c r="H7" s="20">
        <v>669483382092</v>
      </c>
      <c r="I7" s="20">
        <v>659794391223</v>
      </c>
      <c r="J7" s="20">
        <v>671856600123</v>
      </c>
      <c r="K7" s="20">
        <v>717062907204</v>
      </c>
      <c r="L7" s="20">
        <v>659149682105</v>
      </c>
      <c r="M7" s="20">
        <v>655152105799</v>
      </c>
      <c r="N7" s="20">
        <v>553362078527</v>
      </c>
      <c r="O7" s="20">
        <v>482217445372</v>
      </c>
      <c r="P7" s="20">
        <v>488840075078</v>
      </c>
      <c r="Q7" s="20"/>
      <c r="R7" s="20"/>
      <c r="S7" s="18"/>
      <c r="T7" s="5"/>
      <c r="U7" s="7"/>
      <c r="V7" s="7"/>
      <c r="W7" s="7"/>
      <c r="X7" s="7"/>
      <c r="Y7" s="7"/>
      <c r="Z7" s="7"/>
      <c r="AA7" s="7"/>
    </row>
    <row r="8" spans="1:27" ht="14.25" customHeight="1" x14ac:dyDescent="0.2">
      <c r="A8" s="2" t="s">
        <v>34</v>
      </c>
      <c r="B8" s="20">
        <v>60777863478</v>
      </c>
      <c r="C8" s="20">
        <v>45503369944</v>
      </c>
      <c r="D8" s="20">
        <v>42355371268</v>
      </c>
      <c r="E8" s="20">
        <v>44508856492</v>
      </c>
      <c r="F8" s="20">
        <v>39762517790</v>
      </c>
      <c r="G8" s="20">
        <v>38125984102</v>
      </c>
      <c r="H8" s="20">
        <v>24401706902</v>
      </c>
      <c r="I8" s="20">
        <v>19398788428</v>
      </c>
      <c r="J8" s="20">
        <v>18672839545</v>
      </c>
      <c r="K8" s="20">
        <v>17952780906</v>
      </c>
      <c r="L8" s="20">
        <v>17149123737</v>
      </c>
      <c r="M8" s="20">
        <v>16095039591</v>
      </c>
      <c r="N8" s="20">
        <v>11613965775</v>
      </c>
      <c r="O8" s="20">
        <v>5778000000</v>
      </c>
      <c r="P8" s="20">
        <v>5304000000</v>
      </c>
      <c r="Q8" s="20"/>
      <c r="R8" s="20"/>
      <c r="S8" s="18"/>
      <c r="T8" s="5"/>
      <c r="U8" s="7"/>
      <c r="V8" s="7"/>
      <c r="W8" s="7"/>
      <c r="X8" s="7"/>
      <c r="Y8" s="7"/>
      <c r="Z8" s="7"/>
      <c r="AA8" s="7"/>
    </row>
    <row r="9" spans="1:27" ht="14.25" customHeight="1" x14ac:dyDescent="0.2">
      <c r="A9" s="2" t="s">
        <v>35</v>
      </c>
      <c r="B9" s="20">
        <v>440787896768</v>
      </c>
      <c r="C9" s="20">
        <v>406380339115</v>
      </c>
      <c r="D9" s="20">
        <v>386299285911</v>
      </c>
      <c r="E9" s="20">
        <v>361666067730</v>
      </c>
      <c r="F9" s="20">
        <v>349603540294</v>
      </c>
      <c r="G9" s="20">
        <v>338223345881</v>
      </c>
      <c r="H9" s="20">
        <v>320324031793</v>
      </c>
      <c r="I9" s="20">
        <v>310122130019</v>
      </c>
      <c r="J9" s="20">
        <v>301305356813</v>
      </c>
      <c r="K9" s="20">
        <v>292173845314</v>
      </c>
      <c r="L9" s="20">
        <v>282141339260</v>
      </c>
      <c r="M9" s="20">
        <v>266561991235</v>
      </c>
      <c r="N9" s="20">
        <v>260244201148</v>
      </c>
      <c r="O9" s="20">
        <v>255081056739</v>
      </c>
      <c r="P9" s="20">
        <v>195976647933</v>
      </c>
      <c r="Q9" s="20"/>
      <c r="R9" s="20"/>
      <c r="S9" s="18"/>
      <c r="T9" s="5"/>
      <c r="U9" s="7"/>
      <c r="V9" s="7"/>
      <c r="W9" s="7"/>
      <c r="X9" s="7"/>
      <c r="Y9" s="7"/>
      <c r="Z9" s="7"/>
      <c r="AA9" s="7"/>
    </row>
    <row r="10" spans="1:27" ht="14.25" customHeight="1" x14ac:dyDescent="0.2">
      <c r="A10" s="2" t="s">
        <v>36</v>
      </c>
      <c r="B10" s="20">
        <v>54488610857</v>
      </c>
      <c r="C10" s="20">
        <v>20081053204</v>
      </c>
      <c r="D10" s="20">
        <v>69105125703</v>
      </c>
      <c r="E10" s="20">
        <v>44789798437</v>
      </c>
      <c r="F10" s="20">
        <v>29279508501</v>
      </c>
      <c r="G10" s="20">
        <v>17899314088</v>
      </c>
      <c r="H10" s="20">
        <v>39422804844</v>
      </c>
      <c r="I10" s="20">
        <v>27980790759</v>
      </c>
      <c r="J10" s="20">
        <v>19164017553</v>
      </c>
      <c r="K10" s="20">
        <v>10032506054</v>
      </c>
      <c r="L10" s="20">
        <v>33421456238</v>
      </c>
      <c r="M10" s="20">
        <v>17536198779</v>
      </c>
      <c r="N10" s="20">
        <v>11218408692</v>
      </c>
      <c r="O10" s="20">
        <v>6055264283</v>
      </c>
      <c r="P10" s="20">
        <v>15834397481</v>
      </c>
      <c r="Q10" s="20"/>
      <c r="R10" s="20"/>
      <c r="S10" s="18"/>
      <c r="T10" s="5"/>
      <c r="U10" s="7"/>
      <c r="V10" s="7"/>
      <c r="W10" s="7"/>
      <c r="X10" s="7"/>
      <c r="Y10" s="7"/>
      <c r="Z10" s="7"/>
      <c r="AA10" s="7"/>
    </row>
    <row r="11" spans="1:27" ht="14.25" customHeight="1" x14ac:dyDescent="0.2">
      <c r="A11" s="6" t="s">
        <v>37</v>
      </c>
      <c r="B11" s="20">
        <v>416305253678</v>
      </c>
      <c r="C11" s="20">
        <v>198217525096</v>
      </c>
      <c r="D11" s="20">
        <v>656304660831</v>
      </c>
      <c r="E11" s="20">
        <v>454671565688</v>
      </c>
      <c r="F11" s="20">
        <v>276031872177</v>
      </c>
      <c r="G11" s="20">
        <v>136421123584</v>
      </c>
      <c r="H11" s="20">
        <v>428929469152</v>
      </c>
      <c r="I11" s="20">
        <v>320168860120</v>
      </c>
      <c r="J11" s="20">
        <v>211814927894</v>
      </c>
      <c r="K11" s="20">
        <v>107283585181</v>
      </c>
      <c r="L11" s="20">
        <v>344916761385</v>
      </c>
      <c r="M11" s="20">
        <v>238738972578</v>
      </c>
      <c r="N11" s="20">
        <v>148107135064</v>
      </c>
      <c r="O11" s="20">
        <v>69701660977</v>
      </c>
      <c r="P11" s="20">
        <v>215876144768</v>
      </c>
      <c r="Q11" s="20"/>
      <c r="R11" s="20"/>
      <c r="S11" s="18"/>
      <c r="T11" s="5"/>
      <c r="U11" s="7"/>
      <c r="V11" s="7"/>
      <c r="W11" s="7"/>
      <c r="X11" s="7"/>
      <c r="Y11" s="7"/>
      <c r="Z11" s="7"/>
      <c r="AA11" s="7"/>
    </row>
    <row r="12" spans="1:27" ht="14.25" customHeight="1" x14ac:dyDescent="0.2">
      <c r="A12" s="2" t="s">
        <v>38</v>
      </c>
      <c r="B12" s="20">
        <v>36280251489</v>
      </c>
      <c r="C12" s="20">
        <v>21593359177</v>
      </c>
      <c r="D12" s="20">
        <v>92912280784</v>
      </c>
      <c r="E12" s="20">
        <v>46744141072</v>
      </c>
      <c r="F12" s="20">
        <v>19157874324</v>
      </c>
      <c r="G12" s="20">
        <v>12746527545</v>
      </c>
      <c r="H12" s="20">
        <v>33900503009</v>
      </c>
      <c r="I12" s="20">
        <v>34013886562</v>
      </c>
      <c r="J12" s="20">
        <v>17339806788</v>
      </c>
      <c r="K12" s="20">
        <v>7054265677</v>
      </c>
      <c r="L12" s="20">
        <v>59573516823</v>
      </c>
      <c r="M12" s="20">
        <v>30910421282</v>
      </c>
      <c r="N12" s="20">
        <v>5354597522</v>
      </c>
      <c r="O12" s="20">
        <v>10976626569</v>
      </c>
      <c r="P12" s="20">
        <v>27606264949</v>
      </c>
      <c r="Q12" s="20"/>
      <c r="R12" s="20"/>
      <c r="S12" s="18"/>
      <c r="T12" s="5"/>
      <c r="U12" s="7"/>
      <c r="V12" s="7"/>
      <c r="W12" s="7"/>
      <c r="X12" s="7"/>
      <c r="Y12" s="7"/>
      <c r="Z12" s="7"/>
      <c r="AA12" s="7"/>
    </row>
    <row r="13" spans="1:27" ht="14.25" customHeight="1" x14ac:dyDescent="0.2">
      <c r="A13" s="2" t="s">
        <v>39</v>
      </c>
      <c r="B13" s="20">
        <v>1894375000</v>
      </c>
      <c r="C13" s="20">
        <v>1894375000</v>
      </c>
      <c r="D13" s="20">
        <v>1894375000</v>
      </c>
      <c r="E13" s="20">
        <v>1894375000</v>
      </c>
      <c r="F13" s="20">
        <v>1894375000</v>
      </c>
      <c r="G13" s="20">
        <v>1894375000</v>
      </c>
      <c r="H13" s="20">
        <v>1894375000</v>
      </c>
      <c r="I13" s="20">
        <v>1894375000</v>
      </c>
      <c r="J13" s="20">
        <v>1894375000</v>
      </c>
      <c r="K13" s="20">
        <v>1894375000</v>
      </c>
      <c r="L13" s="20">
        <v>1894375000</v>
      </c>
      <c r="M13" s="20">
        <v>1894375000</v>
      </c>
      <c r="N13" s="20">
        <v>1894375000</v>
      </c>
      <c r="O13" s="20">
        <v>1894375000</v>
      </c>
      <c r="P13" s="20">
        <v>1515500000</v>
      </c>
      <c r="Q13" s="20"/>
      <c r="R13" s="20"/>
      <c r="S13" s="18"/>
      <c r="T13" s="5"/>
      <c r="U13" s="7"/>
      <c r="V13" s="7"/>
      <c r="W13" s="7"/>
      <c r="X13" s="7"/>
      <c r="Y13" s="7"/>
      <c r="Z13" s="7"/>
      <c r="AA13" s="7"/>
    </row>
    <row r="14" spans="1:27" ht="14.25" customHeight="1" x14ac:dyDescent="0.2">
      <c r="A14" s="2" t="s">
        <v>40</v>
      </c>
      <c r="B14" s="4">
        <v>228</v>
      </c>
      <c r="C14" s="4">
        <v>196</v>
      </c>
      <c r="D14" s="4">
        <v>226</v>
      </c>
      <c r="E14" s="4">
        <v>332</v>
      </c>
      <c r="F14" s="4">
        <v>143</v>
      </c>
      <c r="G14" s="4">
        <v>131</v>
      </c>
      <c r="H14" s="5">
        <v>129</v>
      </c>
      <c r="I14" s="5">
        <v>120</v>
      </c>
      <c r="J14" s="5">
        <v>125</v>
      </c>
      <c r="K14" s="5">
        <v>123</v>
      </c>
      <c r="L14" s="5">
        <v>131</v>
      </c>
      <c r="M14" s="5">
        <v>272</v>
      </c>
      <c r="N14" s="5">
        <v>204</v>
      </c>
      <c r="O14" s="5">
        <v>318</v>
      </c>
      <c r="P14" s="5">
        <v>278</v>
      </c>
      <c r="Q14" s="5">
        <v>580</v>
      </c>
      <c r="R14" s="5">
        <v>610</v>
      </c>
      <c r="S14" s="5">
        <v>352</v>
      </c>
      <c r="T14" s="5">
        <v>725</v>
      </c>
      <c r="U14" s="7">
        <v>570</v>
      </c>
      <c r="V14" s="7">
        <v>570</v>
      </c>
      <c r="W14" s="4">
        <v>570</v>
      </c>
      <c r="X14" s="7">
        <v>570</v>
      </c>
      <c r="Y14" s="7">
        <v>570</v>
      </c>
      <c r="Z14" s="7">
        <v>1140</v>
      </c>
      <c r="AA14" s="7">
        <v>1140</v>
      </c>
    </row>
    <row r="15" spans="1:27" ht="14.25" customHeight="1" x14ac:dyDescent="0.2">
      <c r="A15" s="8" t="s">
        <v>41</v>
      </c>
      <c r="B15" s="6">
        <f t="shared" ref="B15:AA15" si="0">B9/B13</f>
        <v>232.68249252022434</v>
      </c>
      <c r="C15" s="6">
        <f t="shared" si="0"/>
        <v>214.51947957241833</v>
      </c>
      <c r="D15" s="6">
        <f t="shared" si="0"/>
        <v>203.91912156304849</v>
      </c>
      <c r="E15" s="6">
        <f t="shared" si="0"/>
        <v>190.91577313361927</v>
      </c>
      <c r="F15" s="6">
        <f t="shared" si="0"/>
        <v>184.54822318389969</v>
      </c>
      <c r="G15" s="6">
        <f t="shared" si="0"/>
        <v>178.54086222685584</v>
      </c>
      <c r="H15" s="6">
        <f t="shared" si="0"/>
        <v>169.09219758126031</v>
      </c>
      <c r="I15" s="6">
        <f t="shared" si="0"/>
        <v>163.70683207865392</v>
      </c>
      <c r="J15" s="6">
        <f t="shared" si="0"/>
        <v>159.05264628861761</v>
      </c>
      <c r="K15" s="6">
        <f t="shared" si="0"/>
        <v>154.23231689290662</v>
      </c>
      <c r="L15" s="6">
        <f t="shared" si="0"/>
        <v>148.93637176377433</v>
      </c>
      <c r="M15" s="6">
        <f t="shared" si="0"/>
        <v>140.71236752754865</v>
      </c>
      <c r="N15" s="6">
        <f t="shared" si="0"/>
        <v>137.37734141761794</v>
      </c>
      <c r="O15" s="6">
        <f t="shared" si="0"/>
        <v>134.65182803774331</v>
      </c>
      <c r="P15" s="6">
        <f t="shared" si="0"/>
        <v>129.31484522137907</v>
      </c>
      <c r="Q15" s="6">
        <f t="shared" si="0"/>
        <v>134.65182803774331</v>
      </c>
      <c r="R15" s="6">
        <f t="shared" si="0"/>
        <v>129.31484522137907</v>
      </c>
      <c r="S15" s="6" t="e">
        <f t="shared" si="0"/>
        <v>#DIV/0!</v>
      </c>
      <c r="T15" s="6" t="e">
        <f t="shared" si="0"/>
        <v>#DIV/0!</v>
      </c>
      <c r="U15" s="6" t="e">
        <f t="shared" si="0"/>
        <v>#DIV/0!</v>
      </c>
      <c r="V15" s="6" t="e">
        <f t="shared" si="0"/>
        <v>#DIV/0!</v>
      </c>
      <c r="W15" s="6" t="e">
        <f t="shared" si="0"/>
        <v>#DIV/0!</v>
      </c>
      <c r="X15" s="9" t="e">
        <f t="shared" si="0"/>
        <v>#DIV/0!</v>
      </c>
      <c r="Y15" s="9" t="e">
        <f t="shared" si="0"/>
        <v>#DIV/0!</v>
      </c>
      <c r="Z15" s="9" t="e">
        <f t="shared" si="0"/>
        <v>#DIV/0!</v>
      </c>
      <c r="AA15" s="9" t="e">
        <f t="shared" si="0"/>
        <v>#DIV/0!</v>
      </c>
    </row>
    <row r="16" spans="1:27" ht="14.25" customHeight="1" x14ac:dyDescent="0.2">
      <c r="A16" s="8" t="s">
        <v>42</v>
      </c>
      <c r="B16" s="6">
        <f t="shared" ref="B16:AA16" si="1">B5-B7</f>
        <v>-941256525057</v>
      </c>
      <c r="C16" s="6">
        <f t="shared" si="1"/>
        <v>-727905268174</v>
      </c>
      <c r="D16" s="6">
        <f t="shared" si="1"/>
        <v>-570346815932</v>
      </c>
      <c r="E16" s="6">
        <f t="shared" si="1"/>
        <v>-474527156812</v>
      </c>
      <c r="F16" s="6">
        <f t="shared" si="1"/>
        <v>-431431855353</v>
      </c>
      <c r="G16" s="6">
        <f t="shared" si="1"/>
        <v>-456841885841</v>
      </c>
      <c r="H16" s="6">
        <f t="shared" si="1"/>
        <v>-475734203137</v>
      </c>
      <c r="I16" s="6">
        <f t="shared" si="1"/>
        <v>-498704860567</v>
      </c>
      <c r="J16" s="6">
        <f t="shared" si="1"/>
        <v>-522474782382</v>
      </c>
      <c r="K16" s="6">
        <f t="shared" si="1"/>
        <v>-538820316929</v>
      </c>
      <c r="L16" s="6">
        <f t="shared" si="1"/>
        <v>-537972877881</v>
      </c>
      <c r="M16" s="6">
        <f t="shared" si="1"/>
        <v>-544198377491</v>
      </c>
      <c r="N16" s="6">
        <f t="shared" si="1"/>
        <v>-451173143169</v>
      </c>
      <c r="O16" s="6">
        <f t="shared" si="1"/>
        <v>-384456579382</v>
      </c>
      <c r="P16" s="6">
        <f t="shared" si="1"/>
        <v>-415079053281</v>
      </c>
      <c r="Q16" s="6">
        <f t="shared" si="1"/>
        <v>-384456579382</v>
      </c>
      <c r="R16" s="6">
        <f t="shared" si="1"/>
        <v>-415079053281</v>
      </c>
      <c r="S16" s="6">
        <f t="shared" si="1"/>
        <v>0</v>
      </c>
      <c r="T16" s="6">
        <f t="shared" si="1"/>
        <v>0</v>
      </c>
      <c r="U16" s="6">
        <f t="shared" si="1"/>
        <v>0</v>
      </c>
      <c r="V16" s="6">
        <f t="shared" si="1"/>
        <v>0</v>
      </c>
      <c r="W16" s="6">
        <f t="shared" si="1"/>
        <v>0</v>
      </c>
      <c r="X16" s="9">
        <f t="shared" si="1"/>
        <v>0</v>
      </c>
      <c r="Y16" s="9">
        <f t="shared" si="1"/>
        <v>0</v>
      </c>
      <c r="Z16" s="9">
        <f t="shared" si="1"/>
        <v>0</v>
      </c>
      <c r="AA16" s="9">
        <f t="shared" si="1"/>
        <v>0</v>
      </c>
    </row>
    <row r="17" spans="1:27" ht="14.25" customHeight="1" x14ac:dyDescent="0.2">
      <c r="A17" s="8" t="s">
        <v>43</v>
      </c>
      <c r="B17" s="10">
        <f t="shared" ref="B17:AA17" si="2">B10/B4</f>
        <v>3.1313871796664706E-2</v>
      </c>
      <c r="C17" s="10">
        <f t="shared" si="2"/>
        <v>1.4195743425387869E-2</v>
      </c>
      <c r="D17" s="10">
        <f t="shared" si="2"/>
        <v>5.5604160934270723E-2</v>
      </c>
      <c r="E17" s="10">
        <f t="shared" si="2"/>
        <v>4.1000457643505073E-2</v>
      </c>
      <c r="F17" s="10">
        <f t="shared" si="2"/>
        <v>2.865667113727683E-2</v>
      </c>
      <c r="G17" s="10">
        <f t="shared" si="2"/>
        <v>1.7545712967405556E-2</v>
      </c>
      <c r="H17" s="10">
        <f t="shared" si="2"/>
        <v>3.982543665701313E-2</v>
      </c>
      <c r="I17" s="10">
        <f t="shared" si="2"/>
        <v>2.8847504052899077E-2</v>
      </c>
      <c r="J17" s="10">
        <f t="shared" si="2"/>
        <v>1.9692025709769828E-2</v>
      </c>
      <c r="K17" s="10">
        <f t="shared" si="2"/>
        <v>9.940491611673076E-3</v>
      </c>
      <c r="L17" s="10">
        <f t="shared" si="2"/>
        <v>3.5505216290141854E-2</v>
      </c>
      <c r="M17" s="10">
        <f t="shared" si="2"/>
        <v>1.9025506695974935E-2</v>
      </c>
      <c r="N17" s="10">
        <f t="shared" si="2"/>
        <v>1.3788354536533022E-2</v>
      </c>
      <c r="O17" s="10">
        <f t="shared" si="2"/>
        <v>8.2126670420898905E-3</v>
      </c>
      <c r="P17" s="10">
        <f t="shared" si="2"/>
        <v>2.3121776836192674E-2</v>
      </c>
      <c r="Q17" s="10">
        <f t="shared" si="2"/>
        <v>8.2126670420898905E-3</v>
      </c>
      <c r="R17" s="10">
        <f t="shared" si="2"/>
        <v>2.3121776836192674E-2</v>
      </c>
      <c r="S17" s="10" t="e">
        <f t="shared" si="2"/>
        <v>#DIV/0!</v>
      </c>
      <c r="T17" s="10" t="e">
        <f t="shared" si="2"/>
        <v>#DIV/0!</v>
      </c>
      <c r="U17" s="10" t="e">
        <f t="shared" si="2"/>
        <v>#DIV/0!</v>
      </c>
      <c r="V17" s="10" t="e">
        <f t="shared" si="2"/>
        <v>#DIV/0!</v>
      </c>
      <c r="W17" s="10" t="e">
        <f t="shared" si="2"/>
        <v>#DIV/0!</v>
      </c>
      <c r="X17" s="10" t="e">
        <f t="shared" si="2"/>
        <v>#DIV/0!</v>
      </c>
      <c r="Y17" s="10" t="e">
        <f t="shared" si="2"/>
        <v>#DIV/0!</v>
      </c>
      <c r="Z17" s="10" t="e">
        <f t="shared" si="2"/>
        <v>#DIV/0!</v>
      </c>
      <c r="AA17" s="10" t="e">
        <f t="shared" si="2"/>
        <v>#DIV/0!</v>
      </c>
    </row>
    <row r="18" spans="1:27" ht="14.25" customHeight="1" x14ac:dyDescent="0.2">
      <c r="A18" s="8" t="s">
        <v>44</v>
      </c>
      <c r="B18" s="10">
        <f t="shared" ref="B18:AA18" si="3">B10/B9</f>
        <v>0.1236163952243884</v>
      </c>
      <c r="C18" s="10">
        <f t="shared" si="3"/>
        <v>4.9414430943514075E-2</v>
      </c>
      <c r="D18" s="10">
        <f t="shared" si="3"/>
        <v>0.17889012023418863</v>
      </c>
      <c r="E18" s="10">
        <f t="shared" si="3"/>
        <v>0.12384296574495786</v>
      </c>
      <c r="F18" s="10">
        <f t="shared" si="3"/>
        <v>8.3750606405121983E-2</v>
      </c>
      <c r="G18" s="10">
        <f t="shared" si="3"/>
        <v>5.2921580683249668E-2</v>
      </c>
      <c r="H18" s="10">
        <f t="shared" si="3"/>
        <v>0.12307164287154025</v>
      </c>
      <c r="I18" s="10">
        <f t="shared" si="3"/>
        <v>9.022506957915491E-2</v>
      </c>
      <c r="J18" s="10">
        <f t="shared" si="3"/>
        <v>6.3603308469865075E-2</v>
      </c>
      <c r="K18" s="10">
        <f t="shared" si="3"/>
        <v>3.4337454275614708E-2</v>
      </c>
      <c r="L18" s="10">
        <f t="shared" si="3"/>
        <v>0.11845643153767456</v>
      </c>
      <c r="M18" s="10">
        <f t="shared" si="3"/>
        <v>6.5786568811830926E-2</v>
      </c>
      <c r="N18" s="10">
        <f t="shared" si="3"/>
        <v>4.3107237903910599E-2</v>
      </c>
      <c r="O18" s="10">
        <f t="shared" si="3"/>
        <v>2.3738588668290532E-2</v>
      </c>
      <c r="P18" s="10">
        <f t="shared" si="3"/>
        <v>8.0797368706976888E-2</v>
      </c>
      <c r="Q18" s="10">
        <f t="shared" si="3"/>
        <v>2.3738588668290532E-2</v>
      </c>
      <c r="R18" s="10">
        <f t="shared" si="3"/>
        <v>8.0797368706976888E-2</v>
      </c>
      <c r="S18" s="10" t="e">
        <f t="shared" si="3"/>
        <v>#DIV/0!</v>
      </c>
      <c r="T18" s="10" t="e">
        <f t="shared" si="3"/>
        <v>#DIV/0!</v>
      </c>
      <c r="U18" s="10" t="e">
        <f t="shared" si="3"/>
        <v>#DIV/0!</v>
      </c>
      <c r="V18" s="10" t="e">
        <f t="shared" si="3"/>
        <v>#DIV/0!</v>
      </c>
      <c r="W18" s="10" t="e">
        <f t="shared" si="3"/>
        <v>#DIV/0!</v>
      </c>
      <c r="X18" s="10" t="e">
        <f t="shared" si="3"/>
        <v>#DIV/0!</v>
      </c>
      <c r="Y18" s="10" t="e">
        <f t="shared" si="3"/>
        <v>#DIV/0!</v>
      </c>
      <c r="Z18" s="10" t="e">
        <f t="shared" si="3"/>
        <v>#DIV/0!</v>
      </c>
      <c r="AA18" s="10" t="e">
        <f t="shared" si="3"/>
        <v>#DIV/0!</v>
      </c>
    </row>
    <row r="19" spans="1:27" ht="14.25" customHeight="1" x14ac:dyDescent="0.2">
      <c r="A19" s="8" t="s">
        <v>45</v>
      </c>
      <c r="B19" s="11">
        <f t="shared" ref="B19:AA19" si="4">B14/B15</f>
        <v>0.97987604280189944</v>
      </c>
      <c r="C19" s="11">
        <f t="shared" si="4"/>
        <v>0.91366993986125877</v>
      </c>
      <c r="D19" s="11">
        <f t="shared" si="4"/>
        <v>1.1082825301899137</v>
      </c>
      <c r="E19" s="11">
        <f t="shared" si="4"/>
        <v>1.7389867508099388</v>
      </c>
      <c r="F19" s="11">
        <f t="shared" si="4"/>
        <v>0.77486522239502964</v>
      </c>
      <c r="G19" s="11">
        <f t="shared" si="4"/>
        <v>0.73372559293205419</v>
      </c>
      <c r="H19" s="11">
        <f t="shared" si="4"/>
        <v>0.76289741244865372</v>
      </c>
      <c r="I19" s="11">
        <f t="shared" si="4"/>
        <v>0.73301766625320375</v>
      </c>
      <c r="J19" s="11">
        <f t="shared" si="4"/>
        <v>0.7859033025654566</v>
      </c>
      <c r="K19" s="11">
        <f t="shared" si="4"/>
        <v>0.79749823174482148</v>
      </c>
      <c r="L19" s="11">
        <f t="shared" si="4"/>
        <v>0.87957023827448322</v>
      </c>
      <c r="M19" s="11">
        <f t="shared" si="4"/>
        <v>1.9330212743861899</v>
      </c>
      <c r="N19" s="11">
        <f t="shared" si="4"/>
        <v>1.484961041572741</v>
      </c>
      <c r="O19" s="11">
        <f t="shared" si="4"/>
        <v>2.361646363322031</v>
      </c>
      <c r="P19" s="11">
        <f t="shared" si="4"/>
        <v>2.1497918473635496</v>
      </c>
      <c r="Q19" s="11">
        <f t="shared" si="4"/>
        <v>4.3074053167508746</v>
      </c>
      <c r="R19" s="11">
        <f t="shared" si="4"/>
        <v>4.7171691614811699</v>
      </c>
      <c r="S19" s="11" t="e">
        <f t="shared" si="4"/>
        <v>#DIV/0!</v>
      </c>
      <c r="T19" s="11" t="e">
        <f t="shared" si="4"/>
        <v>#DIV/0!</v>
      </c>
      <c r="U19" s="11" t="e">
        <f t="shared" si="4"/>
        <v>#DIV/0!</v>
      </c>
      <c r="V19" s="11" t="e">
        <f t="shared" si="4"/>
        <v>#DIV/0!</v>
      </c>
      <c r="W19" s="11" t="e">
        <f t="shared" si="4"/>
        <v>#DIV/0!</v>
      </c>
      <c r="X19" s="9" t="e">
        <f t="shared" si="4"/>
        <v>#DIV/0!</v>
      </c>
      <c r="Y19" s="9" t="e">
        <f t="shared" si="4"/>
        <v>#DIV/0!</v>
      </c>
      <c r="Z19" s="9" t="e">
        <f t="shared" si="4"/>
        <v>#DIV/0!</v>
      </c>
      <c r="AA19" s="9" t="e">
        <f t="shared" si="4"/>
        <v>#DIV/0!</v>
      </c>
    </row>
    <row r="20" spans="1:27" ht="14.25" customHeight="1" x14ac:dyDescent="0.2">
      <c r="A20" s="8" t="s">
        <v>46</v>
      </c>
      <c r="B20" s="11">
        <f t="shared" ref="B20:AA20" si="5">B14/B21</f>
        <v>7.9267482361318589</v>
      </c>
      <c r="C20" s="11">
        <f t="shared" si="5"/>
        <v>18.489941549780877</v>
      </c>
      <c r="D20" s="11">
        <f t="shared" si="5"/>
        <v>6.1953255369219882</v>
      </c>
      <c r="E20" s="11">
        <f t="shared" si="5"/>
        <v>14.041869397662902</v>
      </c>
      <c r="F20" s="11">
        <f t="shared" si="5"/>
        <v>9.2520550674799722</v>
      </c>
      <c r="G20" s="11">
        <f t="shared" si="5"/>
        <v>13.864393002990695</v>
      </c>
      <c r="H20" s="11">
        <f t="shared" si="5"/>
        <v>6.1988074153275985</v>
      </c>
      <c r="I20" s="11">
        <f t="shared" si="5"/>
        <v>8.124323646102857</v>
      </c>
      <c r="J20" s="11">
        <f t="shared" si="5"/>
        <v>12.356327390387461</v>
      </c>
      <c r="K20" s="11">
        <f t="shared" si="5"/>
        <v>23.225316161867529</v>
      </c>
      <c r="L20" s="11">
        <f t="shared" si="5"/>
        <v>7.4252636759088908</v>
      </c>
      <c r="M20" s="11">
        <f t="shared" si="5"/>
        <v>29.383220759167465</v>
      </c>
      <c r="N20" s="11">
        <f t="shared" si="5"/>
        <v>34.448067512069201</v>
      </c>
      <c r="O20" s="11">
        <f t="shared" si="5"/>
        <v>99.485542140787189</v>
      </c>
      <c r="P20" s="11">
        <f t="shared" si="5"/>
        <v>26.607201221614957</v>
      </c>
      <c r="Q20" s="11">
        <f t="shared" si="5"/>
        <v>181.45161774105839</v>
      </c>
      <c r="R20" s="11">
        <f t="shared" si="5"/>
        <v>58.38270771649325</v>
      </c>
      <c r="S20" s="11" t="e">
        <f t="shared" si="5"/>
        <v>#DIV/0!</v>
      </c>
      <c r="T20" s="11" t="e">
        <f t="shared" si="5"/>
        <v>#DIV/0!</v>
      </c>
      <c r="U20" s="11" t="e">
        <f t="shared" si="5"/>
        <v>#DIV/0!</v>
      </c>
      <c r="V20" s="11" t="e">
        <f t="shared" si="5"/>
        <v>#DIV/0!</v>
      </c>
      <c r="W20" s="11" t="e">
        <f t="shared" si="5"/>
        <v>#DIV/0!</v>
      </c>
      <c r="X20" s="9" t="e">
        <f t="shared" si="5"/>
        <v>#DIV/0!</v>
      </c>
      <c r="Y20" s="9" t="e">
        <f t="shared" si="5"/>
        <v>#DIV/0!</v>
      </c>
      <c r="Z20" s="9" t="e">
        <f t="shared" si="5"/>
        <v>#DIV/0!</v>
      </c>
      <c r="AA20" s="9" t="e">
        <f t="shared" si="5"/>
        <v>#DIV/0!</v>
      </c>
    </row>
    <row r="21" spans="1:27" ht="14.25" customHeight="1" x14ac:dyDescent="0.2">
      <c r="A21" s="8" t="s">
        <v>47</v>
      </c>
      <c r="B21" s="6">
        <f t="shared" ref="B21:AA21" si="6">B10/B13</f>
        <v>28.763370957175848</v>
      </c>
      <c r="C21" s="6">
        <f t="shared" si="6"/>
        <v>10.600358009369845</v>
      </c>
      <c r="D21" s="6">
        <f t="shared" si="6"/>
        <v>36.479116174463876</v>
      </c>
      <c r="E21" s="6">
        <f t="shared" si="6"/>
        <v>23.643575552358957</v>
      </c>
      <c r="F21" s="6">
        <f t="shared" si="6"/>
        <v>15.456025602639393</v>
      </c>
      <c r="G21" s="6">
        <f t="shared" si="6"/>
        <v>9.4486646455955139</v>
      </c>
      <c r="H21" s="6">
        <f t="shared" si="6"/>
        <v>20.810454553084792</v>
      </c>
      <c r="I21" s="6">
        <f t="shared" si="6"/>
        <v>14.770460314879578</v>
      </c>
      <c r="J21" s="6">
        <f t="shared" si="6"/>
        <v>10.116274524843286</v>
      </c>
      <c r="K21" s="6">
        <f t="shared" si="6"/>
        <v>5.2959451291322992</v>
      </c>
      <c r="L21" s="6">
        <f t="shared" si="6"/>
        <v>17.642471125305178</v>
      </c>
      <c r="M21" s="6">
        <f t="shared" si="6"/>
        <v>9.2569838490267244</v>
      </c>
      <c r="N21" s="6">
        <f t="shared" si="6"/>
        <v>5.9219577390960083</v>
      </c>
      <c r="O21" s="6">
        <f t="shared" si="6"/>
        <v>3.1964443592213789</v>
      </c>
      <c r="P21" s="6">
        <f t="shared" si="6"/>
        <v>10.448299228637413</v>
      </c>
      <c r="Q21" s="6">
        <f t="shared" si="6"/>
        <v>3.1964443592213789</v>
      </c>
      <c r="R21" s="6">
        <f t="shared" si="6"/>
        <v>10.448299228637413</v>
      </c>
      <c r="S21" s="6" t="e">
        <f t="shared" si="6"/>
        <v>#DIV/0!</v>
      </c>
      <c r="T21" s="6" t="e">
        <f t="shared" si="6"/>
        <v>#DIV/0!</v>
      </c>
      <c r="U21" s="6" t="e">
        <f t="shared" si="6"/>
        <v>#DIV/0!</v>
      </c>
      <c r="V21" s="6" t="e">
        <f t="shared" si="6"/>
        <v>#DIV/0!</v>
      </c>
      <c r="W21" s="6" t="e">
        <f t="shared" si="6"/>
        <v>#DIV/0!</v>
      </c>
      <c r="X21" s="9" t="e">
        <f t="shared" si="6"/>
        <v>#DIV/0!</v>
      </c>
      <c r="Y21" s="9" t="e">
        <f t="shared" si="6"/>
        <v>#DIV/0!</v>
      </c>
      <c r="Z21" s="9" t="e">
        <f t="shared" si="6"/>
        <v>#DIV/0!</v>
      </c>
      <c r="AA21" s="9" t="e">
        <f t="shared" si="6"/>
        <v>#DIV/0!</v>
      </c>
    </row>
    <row r="22" spans="1:27" ht="14.25" customHeight="1" x14ac:dyDescent="0.2">
      <c r="A22" s="8" t="s">
        <v>48</v>
      </c>
      <c r="B22" s="10">
        <f t="shared" ref="B22:AA22" si="7">B7/B9</f>
        <v>2.9465998843648178</v>
      </c>
      <c r="C22" s="10">
        <f t="shared" si="7"/>
        <v>2.4800689167513887</v>
      </c>
      <c r="D22" s="10">
        <f t="shared" si="7"/>
        <v>2.2165486926457141</v>
      </c>
      <c r="E22" s="10">
        <f t="shared" si="7"/>
        <v>2.0201289905151811</v>
      </c>
      <c r="F22" s="10">
        <f t="shared" si="7"/>
        <v>1.9222827900165109</v>
      </c>
      <c r="G22" s="10">
        <f t="shared" si="7"/>
        <v>2.0159483053186338</v>
      </c>
      <c r="H22" s="10">
        <f t="shared" si="7"/>
        <v>2.0900192169304175</v>
      </c>
      <c r="I22" s="10">
        <f t="shared" si="7"/>
        <v>2.127530825299623</v>
      </c>
      <c r="J22" s="10">
        <f t="shared" si="7"/>
        <v>2.2298196329113931</v>
      </c>
      <c r="K22" s="10">
        <f t="shared" si="7"/>
        <v>2.4542337334588269</v>
      </c>
      <c r="L22" s="10">
        <f t="shared" si="7"/>
        <v>2.3362392899736601</v>
      </c>
      <c r="M22" s="10">
        <f t="shared" si="7"/>
        <v>2.4577851582051715</v>
      </c>
      <c r="N22" s="10">
        <f t="shared" si="7"/>
        <v>2.1263185734244461</v>
      </c>
      <c r="O22" s="10">
        <f t="shared" si="7"/>
        <v>1.8904478895326473</v>
      </c>
      <c r="P22" s="10">
        <f t="shared" si="7"/>
        <v>2.494379204021917</v>
      </c>
      <c r="Q22" s="10">
        <f t="shared" si="7"/>
        <v>1.8904478895326473</v>
      </c>
      <c r="R22" s="10">
        <f t="shared" si="7"/>
        <v>2.494379204021917</v>
      </c>
      <c r="S22" s="10" t="e">
        <f t="shared" si="7"/>
        <v>#DIV/0!</v>
      </c>
      <c r="T22" s="10" t="e">
        <f t="shared" si="7"/>
        <v>#DIV/0!</v>
      </c>
      <c r="U22" s="10" t="e">
        <f t="shared" si="7"/>
        <v>#DIV/0!</v>
      </c>
      <c r="V22" s="10" t="e">
        <f t="shared" si="7"/>
        <v>#DIV/0!</v>
      </c>
      <c r="W22" s="10" t="e">
        <f t="shared" si="7"/>
        <v>#DIV/0!</v>
      </c>
      <c r="X22" s="10" t="e">
        <f t="shared" si="7"/>
        <v>#DIV/0!</v>
      </c>
      <c r="Y22" s="10" t="e">
        <f t="shared" si="7"/>
        <v>#DIV/0!</v>
      </c>
      <c r="Z22" s="10" t="e">
        <f t="shared" si="7"/>
        <v>#DIV/0!</v>
      </c>
      <c r="AA22" s="10" t="e">
        <f t="shared" si="7"/>
        <v>#DIV/0!</v>
      </c>
    </row>
    <row r="23" spans="1:27" ht="14.25" customHeight="1" x14ac:dyDescent="0.2"/>
    <row r="24" spans="1:27" ht="14.25" customHeight="1" x14ac:dyDescent="0.2"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1:27" ht="14.25" customHeight="1" x14ac:dyDescent="0.2"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27" ht="14.25" customHeight="1" x14ac:dyDescent="0.2"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9"/>
    </row>
    <row r="27" spans="1:27" ht="14.25" customHeight="1" x14ac:dyDescent="0.2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 spans="1:27" ht="14.25" customHeight="1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 spans="1:27" ht="14.25" customHeight="1" x14ac:dyDescent="0.2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 spans="1:27" ht="14.25" customHeight="1" x14ac:dyDescent="0.2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27" ht="14.25" customHeight="1" x14ac:dyDescent="0.2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27" ht="14.25" customHeight="1" x14ac:dyDescent="0.2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2:18" ht="14.25" customHeight="1" x14ac:dyDescent="0.2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2:18" ht="14.25" customHeight="1" x14ac:dyDescent="0.2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2:18" ht="14.25" customHeight="1" x14ac:dyDescent="0.2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2:18" ht="14.25" customHeight="1" x14ac:dyDescent="0.2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2:18" ht="14.25" customHeight="1" x14ac:dyDescent="0.2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2:18" ht="14.25" customHeight="1" x14ac:dyDescent="0.2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2:18" ht="14.25" customHeight="1" x14ac:dyDescent="0.2">
      <c r="B39" s="17"/>
      <c r="C39" s="17"/>
      <c r="D39" s="17"/>
      <c r="E39" s="17"/>
      <c r="F39" s="17"/>
      <c r="G39" s="17"/>
      <c r="H39" s="17"/>
      <c r="I39" s="17"/>
      <c r="J39" s="17"/>
      <c r="K39" s="17"/>
    </row>
    <row r="40" spans="2:18" ht="14.25" customHeight="1" x14ac:dyDescent="0.2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</row>
    <row r="41" spans="2:18" ht="14.25" customHeight="1" x14ac:dyDescent="0.2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</row>
    <row r="42" spans="2:18" ht="14.25" customHeight="1" x14ac:dyDescent="0.2"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</row>
    <row r="43" spans="2:18" ht="14.25" customHeight="1" x14ac:dyDescent="0.2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spans="2:18" ht="14.25" customHeight="1" x14ac:dyDescent="0.2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spans="2:18" ht="14.25" customHeight="1" x14ac:dyDescent="0.2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</row>
    <row r="46" spans="2:18" ht="14.25" customHeight="1" x14ac:dyDescent="0.2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</row>
    <row r="47" spans="2:18" ht="14.25" customHeight="1" x14ac:dyDescent="0.2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</row>
    <row r="48" spans="2:18" ht="14.25" customHeight="1" x14ac:dyDescent="0.2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</row>
    <row r="49" spans="2:18" ht="14.25" customHeight="1" x14ac:dyDescent="0.2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</row>
    <row r="50" spans="2:18" ht="14.25" customHeight="1" x14ac:dyDescent="0.2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2:18" ht="14.25" customHeight="1" x14ac:dyDescent="0.2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 spans="2:18" ht="14.25" customHeight="1" x14ac:dyDescent="0.2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</row>
    <row r="53" spans="2:18" ht="14.25" customHeight="1" x14ac:dyDescent="0.2"/>
    <row r="54" spans="2:18" ht="14.25" customHeight="1" x14ac:dyDescent="0.2"/>
    <row r="55" spans="2:18" ht="14.25" customHeight="1" x14ac:dyDescent="0.2"/>
    <row r="56" spans="2:18" ht="14.25" customHeight="1" x14ac:dyDescent="0.2"/>
    <row r="57" spans="2:18" ht="14.25" customHeight="1" x14ac:dyDescent="0.2"/>
    <row r="58" spans="2:18" ht="14.25" customHeight="1" x14ac:dyDescent="0.2"/>
    <row r="59" spans="2:18" ht="14.25" customHeight="1" x14ac:dyDescent="0.2"/>
    <row r="60" spans="2:18" ht="14.25" customHeight="1" x14ac:dyDescent="0.2"/>
    <row r="61" spans="2:18" ht="14.25" customHeight="1" x14ac:dyDescent="0.2"/>
    <row r="62" spans="2:18" ht="14.25" customHeight="1" x14ac:dyDescent="0.2"/>
    <row r="63" spans="2:18" ht="14.25" customHeight="1" x14ac:dyDescent="0.2"/>
    <row r="64" spans="2:18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baseColWidth="10" defaultRowHeight="15" x14ac:dyDescent="0.2"/>
  <cols>
    <col min="3" max="3" width="11.83203125" bestFit="1" customWidth="1"/>
    <col min="4" max="4" width="19.33203125" bestFit="1" customWidth="1"/>
    <col min="6" max="8" width="17.33203125" bestFit="1" customWidth="1"/>
  </cols>
  <sheetData>
    <row r="1" spans="1:8" x14ac:dyDescent="0.2">
      <c r="A1" t="s">
        <v>49</v>
      </c>
      <c r="B1" t="s">
        <v>50</v>
      </c>
      <c r="C1" t="s">
        <v>51</v>
      </c>
      <c r="D1" t="s">
        <v>52</v>
      </c>
    </row>
    <row r="2" spans="1:8" x14ac:dyDescent="0.2">
      <c r="A2" s="14">
        <v>6.7299999999999999E-2</v>
      </c>
      <c r="B2">
        <f>1000/A2</f>
        <v>14858.841010401189</v>
      </c>
      <c r="C2" s="15">
        <v>247029168</v>
      </c>
      <c r="D2" s="12">
        <f>B2*C2</f>
        <v>3670567132243.6851</v>
      </c>
      <c r="F2" s="16">
        <v>3868963000000</v>
      </c>
      <c r="G2" s="16">
        <v>555246000000</v>
      </c>
      <c r="H2" s="13">
        <f>F2+G2</f>
        <v>4424209000000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"/>
  <sheetViews>
    <sheetView workbookViewId="0"/>
  </sheetViews>
  <sheetFormatPr baseColWidth="10" defaultColWidth="12.6640625" defaultRowHeight="15" customHeight="1" x14ac:dyDescent="0.2"/>
  <cols>
    <col min="1" max="1" width="27.83203125" customWidth="1"/>
    <col min="2" max="2" width="25.1640625" customWidth="1"/>
    <col min="3" max="3" width="24.5" customWidth="1"/>
  </cols>
  <sheetData>
    <row r="1" spans="1:4" x14ac:dyDescent="0.2">
      <c r="A1" s="1" t="s">
        <v>53</v>
      </c>
      <c r="B1" s="1" t="s">
        <v>54</v>
      </c>
      <c r="C1" s="1" t="s">
        <v>55</v>
      </c>
      <c r="D1" s="1" t="s">
        <v>55</v>
      </c>
    </row>
    <row r="2" spans="1:4" x14ac:dyDescent="0.2">
      <c r="A2" s="3" t="s">
        <v>56</v>
      </c>
      <c r="B2" s="1" t="s">
        <v>57</v>
      </c>
      <c r="C2" s="1">
        <v>3734</v>
      </c>
      <c r="D2" s="1" t="s">
        <v>58</v>
      </c>
    </row>
    <row r="3" spans="1:4" x14ac:dyDescent="0.2">
      <c r="A3" s="1" t="s">
        <v>59</v>
      </c>
      <c r="B3" s="1" t="s">
        <v>60</v>
      </c>
      <c r="C3" s="1">
        <v>6365</v>
      </c>
      <c r="D3" s="1" t="s">
        <v>58</v>
      </c>
    </row>
    <row r="4" spans="1:4" x14ac:dyDescent="0.2">
      <c r="A4" s="3" t="s">
        <v>61</v>
      </c>
      <c r="B4" s="3" t="s">
        <v>62</v>
      </c>
      <c r="C4" s="3">
        <v>6267</v>
      </c>
      <c r="D4" s="1" t="s">
        <v>58</v>
      </c>
    </row>
    <row r="5" spans="1:4" x14ac:dyDescent="0.2">
      <c r="A5" s="3" t="s">
        <v>63</v>
      </c>
      <c r="B5" s="3" t="s">
        <v>64</v>
      </c>
      <c r="C5" s="3">
        <v>5029</v>
      </c>
      <c r="D5" s="1" t="s">
        <v>58</v>
      </c>
    </row>
    <row r="6" spans="1:4" x14ac:dyDescent="0.2">
      <c r="A6" s="3" t="s">
        <v>65</v>
      </c>
      <c r="B6" s="3" t="s">
        <v>64</v>
      </c>
      <c r="C6" s="3">
        <v>10794</v>
      </c>
      <c r="D6" s="1" t="s">
        <v>58</v>
      </c>
    </row>
    <row r="7" spans="1:4" x14ac:dyDescent="0.2">
      <c r="A7" s="3" t="s">
        <v>66</v>
      </c>
      <c r="B7" s="3" t="s">
        <v>64</v>
      </c>
      <c r="C7" s="3">
        <v>3356</v>
      </c>
      <c r="D7" s="1" t="s">
        <v>58</v>
      </c>
    </row>
    <row r="8" spans="1:4" x14ac:dyDescent="0.2">
      <c r="A8" s="1" t="s">
        <v>67</v>
      </c>
      <c r="B8" s="3" t="s">
        <v>64</v>
      </c>
      <c r="C8" s="3">
        <v>16348</v>
      </c>
      <c r="D8" s="1" t="s">
        <v>58</v>
      </c>
    </row>
    <row r="9" spans="1:4" x14ac:dyDescent="0.2">
      <c r="A9" s="3" t="s">
        <v>68</v>
      </c>
      <c r="B9" s="3" t="s">
        <v>69</v>
      </c>
      <c r="C9" s="3">
        <v>1528</v>
      </c>
      <c r="D9" s="1" t="s">
        <v>58</v>
      </c>
    </row>
    <row r="10" spans="1:4" x14ac:dyDescent="0.2">
      <c r="A10" s="3" t="s">
        <v>70</v>
      </c>
      <c r="B10" s="3" t="s">
        <v>69</v>
      </c>
      <c r="C10" s="3">
        <v>11009</v>
      </c>
      <c r="D10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lokasi kebun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Digitaloffice05679</dc:creator>
  <cp:lastModifiedBy>Muhammad Najmi Rahmani</cp:lastModifiedBy>
  <dcterms:created xsi:type="dcterms:W3CDTF">2025-11-28T07:59:29Z</dcterms:created>
  <dcterms:modified xsi:type="dcterms:W3CDTF">2026-09-23T07:48:48Z</dcterms:modified>
</cp:coreProperties>
</file>