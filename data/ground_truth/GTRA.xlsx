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660" windowWidth="29300" windowHeight="18980" tabRatio="600" firstSheet="0" activeTab="0" autoFilterDateGrouping="1"/>
  </bookViews>
  <sheets>
    <sheet name="Sheet1" sheetId="1" state="visible" r:id="rId1"/>
    <sheet name="Sheet2" sheetId="2" state="visible" r:id="rId2"/>
    <sheet name="lokasi kebun" sheetId="3" state="visible" r:id="rId3"/>
  </sheets>
  <definedNames/>
  <calcPr calcId="191029" fullCalcOnLoad="1"/>
</workbook>
</file>

<file path=xl/styles.xml><?xml version="1.0" encoding="utf-8"?>
<styleSheet xmlns="http://schemas.openxmlformats.org/spreadsheetml/2006/main">
  <numFmts count="2">
    <numFmt numFmtId="164" formatCode="_(* #,##0_);_(* \(#,##0\);_(* &quot;-&quot;??_);_(@_)"/>
    <numFmt numFmtId="165" formatCode="#,##0_ "/>
  </numFmts>
  <fonts count="8">
    <font>
      <name val="Aptos Narrow"/>
      <color theme="1"/>
      <sz val="11"/>
      <scheme val="minor"/>
    </font>
    <font>
      <name val="Arial"/>
      <family val="2"/>
      <color theme="1"/>
      <sz val="11"/>
    </font>
    <font>
      <name val="Tahoma"/>
      <family val="2"/>
      <color theme="1"/>
      <sz val="11"/>
    </font>
    <font>
      <name val="Aptos Narrow"/>
      <color theme="1"/>
      <sz val="11"/>
      <scheme val="minor"/>
    </font>
    <font>
      <name val="Helvetica"/>
      <family val="2"/>
      <color rgb="FF000000"/>
      <sz val="9"/>
    </font>
    <font>
      <name val="Arial"/>
      <family val="2"/>
      <color rgb="FF000000"/>
      <sz val="8"/>
    </font>
    <font>
      <name val="Helvetica Neue"/>
      <family val="2"/>
      <color rgb="FF000000"/>
      <sz val="10"/>
    </font>
    <font>
      <name val="Helvetica"/>
      <family val="2"/>
      <color theme="1"/>
      <sz val="12"/>
    </font>
  </fonts>
  <fills count="3">
    <fill>
      <patternFill/>
    </fill>
    <fill>
      <patternFill patternType="gray125"/>
    </fill>
    <fill>
      <patternFill patternType="solid">
        <fgColor rgb="FFFFFF00"/>
        <bgColor rgb="FFFFFF00"/>
      </patternFill>
    </fill>
  </fills>
  <borders count="1">
    <border>
      <left/>
      <right/>
      <top/>
      <bottom/>
      <diagonal/>
    </border>
  </borders>
  <cellStyleXfs count="2">
    <xf numFmtId="0" fontId="3" fillId="0" borderId="0"/>
    <xf numFmtId="41" fontId="3" fillId="0" borderId="0"/>
  </cellStyleXfs>
  <cellXfs count="20">
    <xf numFmtId="0" fontId="0" fillId="0" borderId="0" pivotButton="0" quotePrefix="0" xfId="0"/>
    <xf numFmtId="0" fontId="1" fillId="0" borderId="0" pivotButton="0" quotePrefix="0" xfId="0"/>
    <xf numFmtId="0" fontId="2" fillId="0" borderId="0" applyAlignment="1" pivotButton="0" quotePrefix="0" xfId="0">
      <alignment horizontal="center"/>
    </xf>
    <xf numFmtId="0" fontId="3" fillId="0" borderId="0" pivotButton="0" quotePrefix="0" xfId="0"/>
    <xf numFmtId="0" fontId="2" fillId="0" borderId="0" pivotButton="0" quotePrefix="0" xfId="0"/>
    <xf numFmtId="164" fontId="2" fillId="0" borderId="0" pivotButton="0" quotePrefix="0" xfId="0"/>
    <xf numFmtId="164" fontId="2" fillId="0" borderId="0" applyAlignment="1" pivotButton="0" quotePrefix="0" xfId="0">
      <alignment horizontal="center"/>
    </xf>
    <xf numFmtId="165" fontId="2" fillId="0" borderId="0" pivotButton="0" quotePrefix="0" xfId="0"/>
    <xf numFmtId="0" fontId="2" fillId="2" borderId="0" applyAlignment="1" pivotButton="0" quotePrefix="0" xfId="0">
      <alignment horizontal="center"/>
    </xf>
    <xf numFmtId="165" fontId="2" fillId="0" borderId="0" applyAlignment="1" pivotButton="0" quotePrefix="0" xfId="0">
      <alignment horizontal="center"/>
    </xf>
    <xf numFmtId="9" fontId="2" fillId="0" borderId="0" applyAlignment="1" pivotButton="0" quotePrefix="0" xfId="0">
      <alignment horizontal="center"/>
    </xf>
    <xf numFmtId="43" fontId="2" fillId="0" borderId="0" applyAlignment="1" pivotButton="0" quotePrefix="0" xfId="0">
      <alignment horizontal="center"/>
    </xf>
    <xf numFmtId="41" fontId="0" fillId="0" borderId="0" pivotButton="0" quotePrefix="0" xfId="1"/>
    <xf numFmtId="41" fontId="0" fillId="0" borderId="0" pivotButton="0" quotePrefix="0" xfId="0"/>
    <xf numFmtId="0" fontId="4" fillId="0" borderId="0" pivotButton="0" quotePrefix="0" xfId="0"/>
    <xf numFmtId="3" fontId="4" fillId="0" borderId="0" pivotButton="0" quotePrefix="0" xfId="0"/>
    <xf numFmtId="3" fontId="5" fillId="0" borderId="0" pivotButton="0" quotePrefix="0" xfId="0"/>
    <xf numFmtId="0" fontId="6" fillId="0" borderId="0" pivotButton="0" quotePrefix="0" xfId="0"/>
    <xf numFmtId="41" fontId="6" fillId="0" borderId="0" pivotButton="0" quotePrefix="0" xfId="1"/>
    <xf numFmtId="0" fontId="7" fillId="0" borderId="0" pivotButton="0" quotePrefix="0" xfId="0"/>
  </cellXfs>
  <cellStyles count="2">
    <cellStyle name="Normal" xfId="0" builtinId="0"/>
    <cellStyle name="Comma [0]" xfId="1" builtinId="6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467886"/>
      </a:folHlink>
    </a:clrScheme>
    <a:fontScheme name="Sheets">
      <a:majorFont>
        <a:latin typeface="Aptos Narrow"/>
        <a:ea typeface="Aptos Narrow"/>
        <a:cs typeface="Aptos Narrow"/>
      </a:majorFont>
      <a:minorFont>
        <a:latin typeface="Aptos Narrow"/>
        <a:ea typeface="Aptos Narrow"/>
        <a:cs typeface="Aptos Narrow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A40"/>
  <sheetViews>
    <sheetView tabSelected="1" workbookViewId="0">
      <pane xSplit="1" topLeftCell="D1" activePane="topRight" state="frozen"/>
      <selection pane="topRight" activeCell="D24" sqref="D24"/>
    </sheetView>
  </sheetViews>
  <sheetFormatPr baseColWidth="10" defaultColWidth="12.6640625" defaultRowHeight="15" customHeight="1"/>
  <cols>
    <col width="59.6640625" customWidth="1" min="1" max="1"/>
    <col width="20.5" customWidth="1" min="2" max="2"/>
    <col width="19.5" customWidth="1" min="3" max="3"/>
    <col width="22.5" customWidth="1" min="4" max="4"/>
    <col width="19.5" customWidth="1" min="5" max="7"/>
    <col width="18.33203125" bestFit="1" customWidth="1" min="8" max="8"/>
    <col width="19.5" customWidth="1" min="9" max="9"/>
    <col width="18.33203125" bestFit="1" customWidth="1" min="10" max="15"/>
    <col width="18.6640625" bestFit="1" customWidth="1" min="16" max="17"/>
    <col width="32.83203125" bestFit="1" customWidth="1" min="18" max="18"/>
    <col width="18.6640625" bestFit="1" customWidth="1" min="19" max="19"/>
    <col width="15" bestFit="1" customWidth="1" min="20" max="20"/>
    <col width="8.6640625" customWidth="1" min="21" max="23"/>
    <col width="15" bestFit="1" customWidth="1" min="24" max="24"/>
    <col width="8.6640625" customWidth="1" min="25" max="27"/>
  </cols>
  <sheetData>
    <row r="1" ht="14.25" customHeight="1">
      <c r="A1" s="2" t="inlineStr">
        <is>
          <t>(HANYA YANG BISA DIATRIBUSIKAN KE ENTITAS INDUK SAJA)</t>
        </is>
      </c>
      <c r="D1" s="4" t="inlineStr">
        <is>
          <t>GTRA</t>
        </is>
      </c>
      <c r="E1" s="2" t="n"/>
      <c r="F1" s="2" t="n"/>
      <c r="G1" s="2" t="n"/>
      <c r="H1" s="2" t="n"/>
      <c r="I1" s="2" t="n"/>
      <c r="J1" s="2" t="n"/>
      <c r="K1" s="2" t="n"/>
      <c r="L1" s="4" t="n"/>
      <c r="M1" s="5" t="n"/>
      <c r="N1" s="4" t="n"/>
      <c r="O1" s="4" t="n"/>
      <c r="P1" s="4" t="n"/>
      <c r="Q1" s="4" t="n"/>
      <c r="R1" s="4" t="n"/>
      <c r="S1" s="4" t="n"/>
      <c r="T1" s="4" t="n"/>
      <c r="U1" s="4" t="n"/>
      <c r="V1" s="4" t="n"/>
      <c r="W1" s="4" t="n"/>
      <c r="X1" s="4" t="n"/>
      <c r="Y1" s="4" t="n"/>
      <c r="Z1" s="4" t="n"/>
    </row>
    <row r="2" ht="14.25" customHeight="1">
      <c r="A2" s="2" t="inlineStr">
        <is>
          <t>DINYATAKAN DALAM RUPIAH</t>
        </is>
      </c>
      <c r="D2" s="4" t="n"/>
      <c r="E2" s="2" t="n"/>
      <c r="F2" s="2" t="inlineStr">
        <is>
          <t>kecuali nilai nominal dan data saham</t>
        </is>
      </c>
      <c r="G2" s="2" t="n"/>
      <c r="H2" s="2" t="n"/>
      <c r="I2" s="2" t="n"/>
      <c r="J2" s="2" t="n"/>
      <c r="K2" s="2" t="n"/>
      <c r="L2" s="4" t="n"/>
      <c r="M2" s="5" t="n"/>
      <c r="N2" s="4" t="n"/>
      <c r="O2" s="4" t="n"/>
      <c r="P2" s="4" t="n"/>
      <c r="Q2" s="4" t="n"/>
      <c r="R2" s="4" t="n"/>
      <c r="S2" s="4" t="n"/>
      <c r="T2" s="4" t="n"/>
      <c r="U2" s="4" t="n"/>
      <c r="V2" s="4" t="n"/>
      <c r="W2" s="4" t="n"/>
      <c r="X2" s="4" t="n"/>
      <c r="Y2" s="4" t="n"/>
      <c r="Z2" s="4" t="n"/>
    </row>
    <row r="3" ht="14.25" customHeight="1">
      <c r="A3" s="2" t="n"/>
      <c r="B3" s="1" t="inlineStr">
        <is>
          <t>Q2 2026</t>
        </is>
      </c>
      <c r="C3" s="1" t="inlineStr">
        <is>
          <t>Q1 2026</t>
        </is>
      </c>
      <c r="D3" s="1" t="inlineStr">
        <is>
          <t>Q4 2025</t>
        </is>
      </c>
      <c r="E3" s="4" t="inlineStr">
        <is>
          <t>Q3 2025</t>
        </is>
      </c>
      <c r="F3" s="4" t="inlineStr">
        <is>
          <t>Q2 2025</t>
        </is>
      </c>
      <c r="G3" s="4" t="inlineStr">
        <is>
          <t>Q1 2025</t>
        </is>
      </c>
      <c r="H3" s="4" t="inlineStr">
        <is>
          <t>TAHUNAN 2024</t>
        </is>
      </c>
      <c r="I3" s="4" t="inlineStr">
        <is>
          <t>Q3 2024</t>
        </is>
      </c>
      <c r="J3" s="2" t="inlineStr">
        <is>
          <t>Q2 2024</t>
        </is>
      </c>
      <c r="K3" s="2" t="inlineStr">
        <is>
          <t>Q1 2024</t>
        </is>
      </c>
      <c r="L3" s="2" t="inlineStr">
        <is>
          <t>TAHUNAN 2023</t>
        </is>
      </c>
      <c r="M3" s="2" t="inlineStr">
        <is>
          <t>Q3 2023</t>
        </is>
      </c>
      <c r="N3" s="2" t="inlineStr">
        <is>
          <t>Q2 2023</t>
        </is>
      </c>
      <c r="O3" s="2" t="inlineStr">
        <is>
          <t>Q1 2023</t>
        </is>
      </c>
      <c r="P3" s="2" t="inlineStr">
        <is>
          <t>TAHUNAN 2022</t>
        </is>
      </c>
      <c r="Q3" s="2" t="inlineStr">
        <is>
          <t>Q3 2022</t>
        </is>
      </c>
      <c r="R3" s="6" t="inlineStr">
        <is>
          <t>Q2 2022</t>
        </is>
      </c>
      <c r="S3" s="6" t="inlineStr">
        <is>
          <t>Q1 2022</t>
        </is>
      </c>
      <c r="T3" s="6" t="inlineStr">
        <is>
          <t>TAHUNAN 2021</t>
        </is>
      </c>
      <c r="U3" s="6" t="inlineStr">
        <is>
          <t>Q3 2021</t>
        </is>
      </c>
      <c r="V3" s="6" t="inlineStr">
        <is>
          <t>Q2 2021</t>
        </is>
      </c>
      <c r="W3" s="6" t="inlineStr">
        <is>
          <t>Q1 2021</t>
        </is>
      </c>
      <c r="X3" s="6" t="inlineStr">
        <is>
          <t>TAHUNAN 2020</t>
        </is>
      </c>
      <c r="Y3" s="6" t="inlineStr">
        <is>
          <t>Q3 2020</t>
        </is>
      </c>
      <c r="Z3" s="6" t="inlineStr">
        <is>
          <t>Q2 2020</t>
        </is>
      </c>
      <c r="AA3" s="6" t="inlineStr">
        <is>
          <t>Q1 2020</t>
        </is>
      </c>
    </row>
    <row r="4" ht="14.25" customHeight="1">
      <c r="A4" s="2" t="inlineStr">
        <is>
          <t>Aset</t>
        </is>
      </c>
      <c r="B4" s="18" t="n">
        <v>1740079004309</v>
      </c>
      <c r="C4" s="18" t="n">
        <v>1414582709919</v>
      </c>
      <c r="D4" s="18" t="n">
        <v>1242804936571</v>
      </c>
      <c r="E4" s="18" t="n">
        <v>1092421914566</v>
      </c>
      <c r="F4" s="18" t="n">
        <v>1021734463181</v>
      </c>
      <c r="G4" s="18" t="n">
        <v>1020153134914</v>
      </c>
      <c r="H4" s="18" t="n">
        <v>989890084157</v>
      </c>
      <c r="I4" s="18" t="n">
        <v>969955345450</v>
      </c>
      <c r="J4" s="18" t="n">
        <v>973186701838</v>
      </c>
      <c r="K4" s="18" t="n">
        <v>1009256528341</v>
      </c>
      <c r="L4" s="18" t="n">
        <v>941311157349</v>
      </c>
      <c r="M4" s="18" t="n">
        <v>921720459761</v>
      </c>
      <c r="N4" s="18" t="n">
        <v>813614754558</v>
      </c>
      <c r="O4" s="18" t="n">
        <v>737307899123</v>
      </c>
      <c r="P4" s="18" t="n">
        <v>684826152989</v>
      </c>
      <c r="Q4" s="18" t="n"/>
      <c r="R4" s="18" t="n"/>
      <c r="S4" s="18" t="n"/>
      <c r="T4" s="5" t="n"/>
      <c r="U4" s="7" t="n"/>
      <c r="V4" s="7" t="n"/>
      <c r="W4" s="7" t="n"/>
      <c r="X4" s="7" t="n"/>
      <c r="Y4" s="7" t="n"/>
      <c r="Z4" s="7" t="n"/>
      <c r="AA4" s="7" t="n"/>
    </row>
    <row r="5" ht="14.25" customHeight="1">
      <c r="A5" s="2" t="inlineStr">
        <is>
          <t>total aset lancar</t>
        </is>
      </c>
      <c r="B5" s="18" t="n">
        <v>357569040589</v>
      </c>
      <c r="C5" s="18" t="n">
        <v>279945979244</v>
      </c>
      <c r="D5" s="18" t="n">
        <v>285904361224</v>
      </c>
      <c r="E5" s="18" t="n">
        <v>256084951495</v>
      </c>
      <c r="F5" s="18" t="n">
        <v>240605013483</v>
      </c>
      <c r="G5" s="18" t="n">
        <v>224998895107</v>
      </c>
      <c r="H5" s="18" t="n">
        <v>193749178955</v>
      </c>
      <c r="I5" s="18" t="n">
        <v>161089530656</v>
      </c>
      <c r="J5" s="18" t="n">
        <v>149381817741</v>
      </c>
      <c r="K5" s="18" t="n">
        <v>178242590275</v>
      </c>
      <c r="L5" s="18" t="n">
        <v>121176804224</v>
      </c>
      <c r="M5" s="18" t="n">
        <v>110953728308</v>
      </c>
      <c r="N5" s="18" t="n">
        <v>102188935358</v>
      </c>
      <c r="O5" s="18" t="n">
        <v>97760865990</v>
      </c>
      <c r="P5" s="18" t="n">
        <v>73761021797</v>
      </c>
      <c r="Q5" s="18" t="n"/>
      <c r="R5" s="18" t="n"/>
      <c r="S5" s="18" t="n"/>
      <c r="T5" s="5" t="n"/>
      <c r="U5" s="7" t="n"/>
      <c r="V5" s="7" t="n"/>
      <c r="W5" s="7" t="n"/>
      <c r="X5" s="7" t="n"/>
      <c r="Y5" s="7" t="n"/>
      <c r="Z5" s="7" t="n"/>
      <c r="AA5" s="7" t="n"/>
    </row>
    <row r="6" ht="14.25" customHeight="1">
      <c r="A6" s="2" t="inlineStr">
        <is>
          <t>KAS</t>
        </is>
      </c>
      <c r="B6" s="18" t="n">
        <v>29716666451</v>
      </c>
      <c r="C6" s="18" t="n">
        <v>20409301364</v>
      </c>
      <c r="D6" s="18" t="n">
        <v>19695706377</v>
      </c>
      <c r="E6" s="18" t="n">
        <v>14653796710</v>
      </c>
      <c r="F6" s="18" t="n">
        <v>14112835723</v>
      </c>
      <c r="G6" s="18" t="n">
        <v>13769104184</v>
      </c>
      <c r="H6" s="18" t="n">
        <v>8528119944</v>
      </c>
      <c r="I6" s="18" t="n">
        <v>9393862468</v>
      </c>
      <c r="J6" s="18" t="n">
        <v>8765089846</v>
      </c>
      <c r="K6" s="18" t="n">
        <v>60303440517</v>
      </c>
      <c r="L6" s="18" t="n">
        <v>16057258132</v>
      </c>
      <c r="M6" s="18" t="n">
        <v>12850012053</v>
      </c>
      <c r="N6" s="18" t="n">
        <v>11051322582</v>
      </c>
      <c r="O6" s="18" t="n">
        <v>25751037598</v>
      </c>
      <c r="P6" s="18" t="n">
        <v>8759584740</v>
      </c>
      <c r="Q6" s="18" t="n"/>
      <c r="R6" s="18" t="n"/>
      <c r="S6" s="18" t="n"/>
      <c r="T6" s="5" t="n"/>
      <c r="U6" s="7" t="n"/>
      <c r="V6" s="7" t="n"/>
      <c r="W6" s="7" t="n"/>
      <c r="X6" s="7" t="n"/>
      <c r="Y6" s="7" t="n"/>
      <c r="Z6" s="7" t="n"/>
      <c r="AA6" s="7" t="n"/>
    </row>
    <row r="7" ht="14.25" customHeight="1">
      <c r="A7" s="2" t="inlineStr">
        <is>
          <t>liabilitas</t>
        </is>
      </c>
      <c r="B7" s="18" t="n">
        <v>1298825565646</v>
      </c>
      <c r="C7" s="18" t="n">
        <v>1007851247418</v>
      </c>
      <c r="D7" s="18" t="n">
        <v>856251177156</v>
      </c>
      <c r="E7" s="18" t="n">
        <v>730612108307</v>
      </c>
      <c r="F7" s="18" t="n">
        <v>672036868836</v>
      </c>
      <c r="G7" s="18" t="n">
        <v>681840780948</v>
      </c>
      <c r="H7" s="18" t="n">
        <v>669483382092</v>
      </c>
      <c r="I7" s="18" t="n">
        <v>659794391223</v>
      </c>
      <c r="J7" s="18" t="n">
        <v>671856600123</v>
      </c>
      <c r="K7" s="18" t="n">
        <v>717062907204</v>
      </c>
      <c r="L7" s="18" t="n">
        <v>659149682105</v>
      </c>
      <c r="M7" s="18" t="n">
        <v>655152105799</v>
      </c>
      <c r="N7" s="18" t="n">
        <v>553362078527</v>
      </c>
      <c r="O7" s="18" t="n">
        <v>482217445372</v>
      </c>
      <c r="P7" s="18" t="n">
        <v>488840075078</v>
      </c>
      <c r="Q7" s="18" t="n"/>
      <c r="R7" s="18" t="n"/>
      <c r="S7" s="18" t="n"/>
      <c r="T7" s="5" t="n"/>
      <c r="U7" s="7" t="n"/>
      <c r="V7" s="7" t="n"/>
      <c r="W7" s="7" t="n"/>
      <c r="X7" s="7" t="n"/>
      <c r="Y7" s="7" t="n"/>
      <c r="Z7" s="7" t="n"/>
      <c r="AA7" s="7" t="n"/>
    </row>
    <row r="8" ht="14.25" customHeight="1">
      <c r="A8" s="2" t="inlineStr">
        <is>
          <t>Utang Bank SAJA Jangka Pendek + Panjang jatuh tempo</t>
        </is>
      </c>
      <c r="B8" s="18" t="n">
        <v>60777863478</v>
      </c>
      <c r="C8" s="18" t="n">
        <v>45503369944</v>
      </c>
      <c r="D8" s="18" t="n">
        <v>42355371268</v>
      </c>
      <c r="E8" s="18" t="n">
        <v>44508856492</v>
      </c>
      <c r="F8" s="18" t="n">
        <v>39762517790</v>
      </c>
      <c r="G8" s="18" t="n">
        <v>38125984102</v>
      </c>
      <c r="H8" s="18" t="n">
        <v>24401706902</v>
      </c>
      <c r="I8" s="18" t="n">
        <v>19398788428</v>
      </c>
      <c r="J8" s="18" t="n">
        <v>18672839545</v>
      </c>
      <c r="K8" s="18" t="n">
        <v>35905561812</v>
      </c>
      <c r="L8" s="18" t="n">
        <v>17149123737</v>
      </c>
      <c r="M8" s="18" t="n">
        <v>16095039591</v>
      </c>
      <c r="N8" s="18" t="n">
        <v>11613965775</v>
      </c>
      <c r="O8" s="18" t="n">
        <v>5778000000</v>
      </c>
      <c r="P8" s="18" t="n">
        <v>5304000000</v>
      </c>
      <c r="Q8" s="18" t="n"/>
      <c r="R8" s="18" t="n"/>
      <c r="S8" s="18" t="n"/>
      <c r="T8" s="5" t="n"/>
      <c r="U8" s="7" t="n"/>
      <c r="V8" s="7" t="n"/>
      <c r="W8" s="7" t="n"/>
      <c r="X8" s="7" t="n"/>
      <c r="Y8" s="7" t="n"/>
      <c r="Z8" s="7" t="n"/>
      <c r="AA8" s="7" t="n"/>
    </row>
    <row r="9" ht="14.25" customHeight="1">
      <c r="A9" s="2" t="inlineStr">
        <is>
          <t>ekuitas</t>
        </is>
      </c>
      <c r="B9" s="18" t="n">
        <v>440787896768</v>
      </c>
      <c r="C9" s="18" t="n">
        <v>406380339115</v>
      </c>
      <c r="D9" s="18" t="n">
        <v>386299285911</v>
      </c>
      <c r="E9" s="18" t="n">
        <v>361666067730</v>
      </c>
      <c r="F9" s="18" t="n">
        <v>349603540294</v>
      </c>
      <c r="G9" s="18" t="n">
        <v>338223345881</v>
      </c>
      <c r="H9" s="18" t="n">
        <v>320324031793</v>
      </c>
      <c r="I9" s="18" t="n">
        <v>310122130019</v>
      </c>
      <c r="J9" s="18" t="n">
        <v>301305356813</v>
      </c>
      <c r="K9" s="18" t="n">
        <v>292173845314</v>
      </c>
      <c r="L9" s="18" t="n">
        <v>282141339260</v>
      </c>
      <c r="M9" s="18" t="n">
        <v>266561991235</v>
      </c>
      <c r="N9" s="18" t="n">
        <v>260244201148</v>
      </c>
      <c r="O9" s="18" t="n">
        <v>255081056739</v>
      </c>
      <c r="P9" s="18" t="n">
        <v>195976647933</v>
      </c>
      <c r="Q9" s="18" t="n"/>
      <c r="R9" s="18" t="n"/>
      <c r="S9" s="18" t="n"/>
      <c r="T9" s="5" t="n"/>
      <c r="U9" s="7" t="n"/>
      <c r="V9" s="7" t="n"/>
      <c r="W9" s="7" t="n"/>
      <c r="X9" s="7" t="n"/>
      <c r="Y9" s="7" t="n"/>
      <c r="Z9" s="7" t="n"/>
      <c r="AA9" s="7" t="n"/>
    </row>
    <row r="10" ht="14.25" customHeight="1">
      <c r="A10" s="2" t="inlineStr">
        <is>
          <t>laba bersih</t>
        </is>
      </c>
      <c r="B10" s="18" t="n">
        <v>54488610857</v>
      </c>
      <c r="C10" s="18" t="n">
        <v>20081053204</v>
      </c>
      <c r="D10" s="18" t="n">
        <v>69105125703</v>
      </c>
      <c r="E10" s="18" t="n">
        <v>44789798437</v>
      </c>
      <c r="F10" s="18" t="n">
        <v>29279508501</v>
      </c>
      <c r="G10" s="18" t="n">
        <v>17899314088</v>
      </c>
      <c r="H10" s="18" t="n">
        <v>39422804844</v>
      </c>
      <c r="I10" s="18" t="n">
        <v>27980790759</v>
      </c>
      <c r="J10" s="18" t="n">
        <v>19164017553</v>
      </c>
      <c r="K10" s="18" t="n">
        <v>10032506054</v>
      </c>
      <c r="L10" s="18" t="n">
        <v>33421456238</v>
      </c>
      <c r="M10" s="18" t="n">
        <v>17536198779</v>
      </c>
      <c r="N10" s="18" t="n">
        <v>11218408692</v>
      </c>
      <c r="O10" s="18" t="n">
        <v>6055264283</v>
      </c>
      <c r="P10" s="18" t="n">
        <v>15834397481</v>
      </c>
      <c r="Q10" s="18" t="n"/>
      <c r="R10" s="18" t="n"/>
      <c r="S10" s="18" t="n"/>
      <c r="T10" s="5" t="n"/>
      <c r="U10" s="7" t="n"/>
      <c r="V10" s="7" t="n"/>
      <c r="W10" s="7" t="n"/>
      <c r="X10" s="7" t="n"/>
      <c r="Y10" s="7" t="n"/>
      <c r="Z10" s="7" t="n"/>
      <c r="AA10" s="7" t="n"/>
    </row>
    <row r="11" ht="14.25" customHeight="1">
      <c r="A11" s="6" t="inlineStr">
        <is>
          <t>pendapatan dari kontrak dengan pelanggan</t>
        </is>
      </c>
      <c r="B11" s="18" t="n">
        <v>416305253678</v>
      </c>
      <c r="C11" s="18" t="n">
        <v>198217525096</v>
      </c>
      <c r="D11" s="18" t="n">
        <v>656304660831</v>
      </c>
      <c r="E11" s="18" t="n">
        <v>454671565688</v>
      </c>
      <c r="F11" s="18" t="n">
        <v>276031872177</v>
      </c>
      <c r="G11" s="18" t="n">
        <v>136421123584</v>
      </c>
      <c r="H11" s="18" t="n">
        <v>428929469152</v>
      </c>
      <c r="I11" s="18" t="n">
        <v>320168860120</v>
      </c>
      <c r="J11" s="18" t="n">
        <v>211814927894</v>
      </c>
      <c r="K11" s="18" t="n">
        <v>107283585181</v>
      </c>
      <c r="L11" s="18" t="n">
        <v>344916761385</v>
      </c>
      <c r="M11" s="18" t="n">
        <v>238738972578</v>
      </c>
      <c r="N11" s="18" t="n">
        <v>148107135064</v>
      </c>
      <c r="O11" s="18" t="n">
        <v>69701660977</v>
      </c>
      <c r="P11" s="18" t="n">
        <v>215876144768</v>
      </c>
      <c r="Q11" s="18" t="n"/>
      <c r="R11" s="18" t="n"/>
      <c r="S11" s="18" t="n"/>
      <c r="T11" s="5" t="n"/>
      <c r="U11" s="7" t="n"/>
      <c r="V11" s="7" t="n"/>
      <c r="W11" s="7" t="n"/>
      <c r="X11" s="7" t="n"/>
      <c r="Y11" s="7" t="n"/>
      <c r="Z11" s="7" t="n"/>
      <c r="AA11" s="7" t="n"/>
    </row>
    <row r="12" ht="14.25" customHeight="1">
      <c r="A12" s="2" t="inlineStr">
        <is>
          <t>kas dari aktivitas operasi</t>
        </is>
      </c>
      <c r="B12" s="18" t="n">
        <v>36280251489</v>
      </c>
      <c r="C12" s="18" t="n">
        <v>21593359177</v>
      </c>
      <c r="D12" s="18" t="n">
        <v>92912280784</v>
      </c>
      <c r="E12" s="18" t="n">
        <v>46744141072</v>
      </c>
      <c r="F12" s="18" t="n">
        <v>19157874324</v>
      </c>
      <c r="G12" s="18" t="n">
        <v>12746527545</v>
      </c>
      <c r="H12" s="18" t="n">
        <v>33900503009</v>
      </c>
      <c r="I12" s="18" t="n">
        <v>34013886562</v>
      </c>
      <c r="J12" s="18" t="n">
        <v>17339806788</v>
      </c>
      <c r="K12" s="18" t="n">
        <v>7054265677</v>
      </c>
      <c r="L12" s="18" t="n">
        <v>59573516823</v>
      </c>
      <c r="M12" s="18" t="n">
        <v>30910421282</v>
      </c>
      <c r="N12" s="18" t="n">
        <v>5354597522</v>
      </c>
      <c r="O12" s="18" t="n">
        <v>10976626569</v>
      </c>
      <c r="P12" s="18" t="n">
        <v>27606264949</v>
      </c>
      <c r="Q12" s="18" t="n"/>
      <c r="R12" s="18" t="n"/>
      <c r="S12" s="18" t="n"/>
      <c r="T12" s="5" t="n"/>
      <c r="U12" s="7" t="n"/>
      <c r="V12" s="7" t="n"/>
      <c r="W12" s="7" t="n"/>
      <c r="X12" s="7" t="n"/>
      <c r="Y12" s="7" t="n"/>
      <c r="Z12" s="7" t="n"/>
      <c r="AA12" s="7" t="n"/>
    </row>
    <row r="13" ht="14.25" customHeight="1">
      <c r="A13" s="2" t="inlineStr">
        <is>
          <t>total share</t>
        </is>
      </c>
      <c r="B13" s="18" t="n">
        <v>1894375000</v>
      </c>
      <c r="C13" s="18" t="n">
        <v>1894375000</v>
      </c>
      <c r="D13" s="18" t="n">
        <v>1894375000</v>
      </c>
      <c r="E13" s="18" t="n">
        <v>1894375000</v>
      </c>
      <c r="F13" s="18" t="n">
        <v>1894375000</v>
      </c>
      <c r="G13" s="18" t="n">
        <v>1894375000</v>
      </c>
      <c r="H13" s="18" t="n">
        <v>1894375000</v>
      </c>
      <c r="I13" s="18" t="n">
        <v>1894375000</v>
      </c>
      <c r="J13" s="18" t="n">
        <v>1894375000</v>
      </c>
      <c r="K13" s="18" t="n">
        <v>1894375000</v>
      </c>
      <c r="L13" s="18" t="n">
        <v>1894375000</v>
      </c>
      <c r="M13" s="18" t="n">
        <v>1894375000</v>
      </c>
      <c r="N13" s="18" t="n">
        <v>1894375000</v>
      </c>
      <c r="O13" s="18" t="n">
        <v>1894375000</v>
      </c>
      <c r="P13" s="18" t="n">
        <v>1515500000</v>
      </c>
      <c r="Q13" s="18" t="n"/>
      <c r="R13" s="18" t="n"/>
      <c r="S13" s="18" t="n"/>
      <c r="T13" s="5" t="n"/>
      <c r="U13" s="7" t="n"/>
      <c r="V13" s="7" t="n"/>
      <c r="W13" s="7" t="n"/>
      <c r="X13" s="7" t="n"/>
      <c r="Y13" s="7" t="n"/>
      <c r="Z13" s="7" t="n"/>
      <c r="AA13" s="7" t="n"/>
    </row>
    <row r="14" ht="14.25" customHeight="1">
      <c r="A14" s="2" t="inlineStr">
        <is>
          <t>Harga saham rupiah</t>
        </is>
      </c>
      <c r="B14" s="4" t="n">
        <v>224</v>
      </c>
      <c r="C14" s="4" t="n">
        <v>196</v>
      </c>
      <c r="D14" s="4" t="n">
        <v>220</v>
      </c>
      <c r="E14" s="4" t="n">
        <v>332</v>
      </c>
      <c r="F14" s="4" t="n">
        <v>143</v>
      </c>
      <c r="G14" s="4" t="n">
        <v>131</v>
      </c>
      <c r="H14" s="5" t="n">
        <v>129</v>
      </c>
      <c r="I14" s="5" t="n">
        <v>121</v>
      </c>
      <c r="J14" s="5" t="n">
        <v>125</v>
      </c>
      <c r="K14" s="5" t="n">
        <v>130</v>
      </c>
      <c r="L14" s="5" t="n">
        <v>131</v>
      </c>
      <c r="M14" s="5" t="n">
        <v>272</v>
      </c>
      <c r="N14" s="5" t="n">
        <v>204</v>
      </c>
      <c r="O14" s="5" t="n">
        <v>318</v>
      </c>
      <c r="P14" s="5" t="n">
        <v>278</v>
      </c>
      <c r="Q14" s="5" t="n">
        <v>580</v>
      </c>
      <c r="R14" s="5" t="n">
        <v>610</v>
      </c>
      <c r="S14" s="5" t="n">
        <v>352</v>
      </c>
      <c r="T14" s="5" t="n">
        <v>725</v>
      </c>
      <c r="U14" s="7" t="n">
        <v>570</v>
      </c>
      <c r="V14" s="7" t="n">
        <v>570</v>
      </c>
      <c r="W14" s="4" t="n">
        <v>570</v>
      </c>
      <c r="X14" s="7" t="n">
        <v>570</v>
      </c>
      <c r="Y14" s="7" t="n">
        <v>570</v>
      </c>
      <c r="Z14" s="7" t="n">
        <v>1140</v>
      </c>
      <c r="AA14" s="7" t="n">
        <v>1140</v>
      </c>
    </row>
    <row r="15" ht="14.25" customHeight="1">
      <c r="A15" s="8" t="inlineStr">
        <is>
          <t>Book Value per share</t>
        </is>
      </c>
      <c r="B15" s="6">
        <f>B9/B13</f>
        <v/>
      </c>
      <c r="C15" s="6">
        <f>C9/C13</f>
        <v/>
      </c>
      <c r="D15" s="6">
        <f>D9/D13</f>
        <v/>
      </c>
      <c r="E15" s="6">
        <f>E9/E13</f>
        <v/>
      </c>
      <c r="F15" s="6">
        <f>F9/F13</f>
        <v/>
      </c>
      <c r="G15" s="6">
        <f>G9/G13</f>
        <v/>
      </c>
      <c r="H15" s="6">
        <f>H9/H13</f>
        <v/>
      </c>
      <c r="I15" s="6">
        <f>I9/I13</f>
        <v/>
      </c>
      <c r="J15" s="6">
        <f>J9/J13</f>
        <v/>
      </c>
      <c r="K15" s="6">
        <f>K9/K13</f>
        <v/>
      </c>
      <c r="L15" s="6">
        <f>L9/L13</f>
        <v/>
      </c>
      <c r="M15" s="6">
        <f>M9/M13</f>
        <v/>
      </c>
      <c r="N15" s="6">
        <f>N9/N13</f>
        <v/>
      </c>
      <c r="O15" s="6">
        <f>O9/O13</f>
        <v/>
      </c>
      <c r="P15" s="6">
        <f>P9/P13</f>
        <v/>
      </c>
      <c r="Q15" s="6">
        <f>Q9/Q13</f>
        <v/>
      </c>
      <c r="R15" s="6">
        <f>R9/R13</f>
        <v/>
      </c>
      <c r="S15" s="6">
        <f>S9/S13</f>
        <v/>
      </c>
      <c r="T15" s="6">
        <f>T9/T13</f>
        <v/>
      </c>
      <c r="U15" s="6">
        <f>U9/U13</f>
        <v/>
      </c>
      <c r="V15" s="6">
        <f>V9/V13</f>
        <v/>
      </c>
      <c r="W15" s="6">
        <f>W9/W13</f>
        <v/>
      </c>
      <c r="X15" s="9">
        <f>X9/X13</f>
        <v/>
      </c>
      <c r="Y15" s="9">
        <f>Y9/Y13</f>
        <v/>
      </c>
      <c r="Z15" s="9">
        <f>Z9/Z13</f>
        <v/>
      </c>
      <c r="AA15" s="9">
        <f>AA9/AA13</f>
        <v/>
      </c>
    </row>
    <row r="16" ht="14.25" customHeight="1">
      <c r="A16" s="8" t="inlineStr">
        <is>
          <t>P1</t>
        </is>
      </c>
      <c r="B16" s="6">
        <f>B5-B7</f>
        <v/>
      </c>
      <c r="C16" s="6">
        <f>C5-C7</f>
        <v/>
      </c>
      <c r="D16" s="6">
        <f>D5-D7</f>
        <v/>
      </c>
      <c r="E16" s="6">
        <f>E5-E7</f>
        <v/>
      </c>
      <c r="F16" s="6">
        <f>F5-F7</f>
        <v/>
      </c>
      <c r="G16" s="6">
        <f>G5-G7</f>
        <v/>
      </c>
      <c r="H16" s="6">
        <f>H5-H7</f>
        <v/>
      </c>
      <c r="I16" s="6">
        <f>I5-I7</f>
        <v/>
      </c>
      <c r="J16" s="6">
        <f>J5-J7</f>
        <v/>
      </c>
      <c r="K16" s="6">
        <f>K5-K7</f>
        <v/>
      </c>
      <c r="L16" s="6">
        <f>L5-L7</f>
        <v/>
      </c>
      <c r="M16" s="6">
        <f>M5-M7</f>
        <v/>
      </c>
      <c r="N16" s="6">
        <f>N5-N7</f>
        <v/>
      </c>
      <c r="O16" s="6">
        <f>O5-O7</f>
        <v/>
      </c>
      <c r="P16" s="6">
        <f>P5-P7</f>
        <v/>
      </c>
      <c r="Q16" s="6">
        <f>Q5-Q7</f>
        <v/>
      </c>
      <c r="R16" s="6">
        <f>R5-R7</f>
        <v/>
      </c>
      <c r="S16" s="6">
        <f>S5-S7</f>
        <v/>
      </c>
      <c r="T16" s="6">
        <f>T5-T7</f>
        <v/>
      </c>
      <c r="U16" s="6">
        <f>U5-U7</f>
        <v/>
      </c>
      <c r="V16" s="6">
        <f>V5-V7</f>
        <v/>
      </c>
      <c r="W16" s="6">
        <f>W5-W7</f>
        <v/>
      </c>
      <c r="X16" s="9">
        <f>X5-X7</f>
        <v/>
      </c>
      <c r="Y16" s="9">
        <f>Y5-Y7</f>
        <v/>
      </c>
      <c r="Z16" s="9">
        <f>Z5-Z7</f>
        <v/>
      </c>
      <c r="AA16" s="9">
        <f>AA5-AA7</f>
        <v/>
      </c>
    </row>
    <row r="17" ht="14.25" customHeight="1">
      <c r="A17" s="8" t="inlineStr">
        <is>
          <t>ROA</t>
        </is>
      </c>
      <c r="B17" s="10">
        <f>B10/B4</f>
        <v/>
      </c>
      <c r="C17" s="10">
        <f>C10/C4</f>
        <v/>
      </c>
      <c r="D17" s="10">
        <f>D10/D4</f>
        <v/>
      </c>
      <c r="E17" s="10">
        <f>E10/E4</f>
        <v/>
      </c>
      <c r="F17" s="10">
        <f>F10/F4</f>
        <v/>
      </c>
      <c r="G17" s="10">
        <f>G10/G4</f>
        <v/>
      </c>
      <c r="H17" s="10">
        <f>H10/H4</f>
        <v/>
      </c>
      <c r="I17" s="10">
        <f>I10/I4</f>
        <v/>
      </c>
      <c r="J17" s="10">
        <f>J10/J4</f>
        <v/>
      </c>
      <c r="K17" s="10">
        <f>K10/K4</f>
        <v/>
      </c>
      <c r="L17" s="10">
        <f>L10/L4</f>
        <v/>
      </c>
      <c r="M17" s="10">
        <f>M10/M4</f>
        <v/>
      </c>
      <c r="N17" s="10">
        <f>N10/N4</f>
        <v/>
      </c>
      <c r="O17" s="10">
        <f>O10/O4</f>
        <v/>
      </c>
      <c r="P17" s="10">
        <f>P10/P4</f>
        <v/>
      </c>
      <c r="Q17" s="10">
        <f>Q10/Q4</f>
        <v/>
      </c>
      <c r="R17" s="10">
        <f>R10/R4</f>
        <v/>
      </c>
      <c r="S17" s="10">
        <f>S10/S4</f>
        <v/>
      </c>
      <c r="T17" s="10">
        <f>T10/T4</f>
        <v/>
      </c>
      <c r="U17" s="10">
        <f>U10/U4</f>
        <v/>
      </c>
      <c r="V17" s="10">
        <f>V10/V4</f>
        <v/>
      </c>
      <c r="W17" s="10">
        <f>W10/W4</f>
        <v/>
      </c>
      <c r="X17" s="10">
        <f>X10/X4</f>
        <v/>
      </c>
      <c r="Y17" s="10">
        <f>Y10/Y4</f>
        <v/>
      </c>
      <c r="Z17" s="10">
        <f>Z10/Z4</f>
        <v/>
      </c>
      <c r="AA17" s="10">
        <f>AA10/AA4</f>
        <v/>
      </c>
    </row>
    <row r="18" ht="14.25" customHeight="1">
      <c r="A18" s="8" t="inlineStr">
        <is>
          <t>ROE</t>
        </is>
      </c>
      <c r="B18" s="10">
        <f>B10/B9</f>
        <v/>
      </c>
      <c r="C18" s="10">
        <f>C10/C9</f>
        <v/>
      </c>
      <c r="D18" s="10">
        <f>D10/D9</f>
        <v/>
      </c>
      <c r="E18" s="10">
        <f>E10/E9</f>
        <v/>
      </c>
      <c r="F18" s="10">
        <f>F10/F9</f>
        <v/>
      </c>
      <c r="G18" s="10">
        <f>G10/G9</f>
        <v/>
      </c>
      <c r="H18" s="10">
        <f>H10/H9</f>
        <v/>
      </c>
      <c r="I18" s="10">
        <f>I10/I9</f>
        <v/>
      </c>
      <c r="J18" s="10">
        <f>J10/J9</f>
        <v/>
      </c>
      <c r="K18" s="10">
        <f>K10/K9</f>
        <v/>
      </c>
      <c r="L18" s="10">
        <f>L10/L9</f>
        <v/>
      </c>
      <c r="M18" s="10">
        <f>M10/M9</f>
        <v/>
      </c>
      <c r="N18" s="10">
        <f>N10/N9</f>
        <v/>
      </c>
      <c r="O18" s="10">
        <f>O10/O9</f>
        <v/>
      </c>
      <c r="P18" s="10">
        <f>P10/P9</f>
        <v/>
      </c>
      <c r="Q18" s="10">
        <f>Q10/Q9</f>
        <v/>
      </c>
      <c r="R18" s="10">
        <f>R10/R9</f>
        <v/>
      </c>
      <c r="S18" s="10">
        <f>S10/S9</f>
        <v/>
      </c>
      <c r="T18" s="10">
        <f>T10/T9</f>
        <v/>
      </c>
      <c r="U18" s="10">
        <f>U10/U9</f>
        <v/>
      </c>
      <c r="V18" s="10">
        <f>V10/V9</f>
        <v/>
      </c>
      <c r="W18" s="10">
        <f>W10/W9</f>
        <v/>
      </c>
      <c r="X18" s="10">
        <f>X10/X9</f>
        <v/>
      </c>
      <c r="Y18" s="10">
        <f>Y10/Y9</f>
        <v/>
      </c>
      <c r="Z18" s="10">
        <f>Z10/Z9</f>
        <v/>
      </c>
      <c r="AA18" s="10">
        <f>AA10/AA9</f>
        <v/>
      </c>
    </row>
    <row r="19" ht="14.25" customHeight="1">
      <c r="A19" s="8" t="inlineStr">
        <is>
          <t>PBV</t>
        </is>
      </c>
      <c r="B19" s="11">
        <f>B14/B15</f>
        <v/>
      </c>
      <c r="C19" s="11">
        <f>C14/C15</f>
        <v/>
      </c>
      <c r="D19" s="11">
        <f>D14/D15</f>
        <v/>
      </c>
      <c r="E19" s="11">
        <f>E14/E15</f>
        <v/>
      </c>
      <c r="F19" s="11">
        <f>F14/F15</f>
        <v/>
      </c>
      <c r="G19" s="11">
        <f>G14/G15</f>
        <v/>
      </c>
      <c r="H19" s="11">
        <f>H14/H15</f>
        <v/>
      </c>
      <c r="I19" s="11">
        <f>I14/I15</f>
        <v/>
      </c>
      <c r="J19" s="11">
        <f>J14/J15</f>
        <v/>
      </c>
      <c r="K19" s="11">
        <f>K14/K15</f>
        <v/>
      </c>
      <c r="L19" s="11">
        <f>L14/L15</f>
        <v/>
      </c>
      <c r="M19" s="11">
        <f>M14/M15</f>
        <v/>
      </c>
      <c r="N19" s="11">
        <f>N14/N15</f>
        <v/>
      </c>
      <c r="O19" s="11">
        <f>O14/O15</f>
        <v/>
      </c>
      <c r="P19" s="11">
        <f>P14/P15</f>
        <v/>
      </c>
      <c r="Q19" s="11">
        <f>Q14/Q15</f>
        <v/>
      </c>
      <c r="R19" s="11">
        <f>R14/R15</f>
        <v/>
      </c>
      <c r="S19" s="11">
        <f>S14/S15</f>
        <v/>
      </c>
      <c r="T19" s="11">
        <f>T14/T15</f>
        <v/>
      </c>
      <c r="U19" s="11">
        <f>U14/U15</f>
        <v/>
      </c>
      <c r="V19" s="11">
        <f>V14/V15</f>
        <v/>
      </c>
      <c r="W19" s="11">
        <f>W14/W15</f>
        <v/>
      </c>
      <c r="X19" s="9">
        <f>X14/X15</f>
        <v/>
      </c>
      <c r="Y19" s="9">
        <f>Y14/Y15</f>
        <v/>
      </c>
      <c r="Z19" s="9">
        <f>Z14/Z15</f>
        <v/>
      </c>
      <c r="AA19" s="9">
        <f>AA14/AA15</f>
        <v/>
      </c>
    </row>
    <row r="20" ht="14.25" customHeight="1">
      <c r="A20" s="8" t="inlineStr">
        <is>
          <t>PE</t>
        </is>
      </c>
      <c r="B20" s="11">
        <f>B14/B21</f>
        <v/>
      </c>
      <c r="C20" s="11">
        <f>C14/C21</f>
        <v/>
      </c>
      <c r="D20" s="11">
        <f>D14/D21</f>
        <v/>
      </c>
      <c r="E20" s="11">
        <f>E14/E21</f>
        <v/>
      </c>
      <c r="F20" s="11">
        <f>F14/F21</f>
        <v/>
      </c>
      <c r="G20" s="11">
        <f>G14/G21</f>
        <v/>
      </c>
      <c r="H20" s="11">
        <f>H14/H21</f>
        <v/>
      </c>
      <c r="I20" s="11">
        <f>I14/I21</f>
        <v/>
      </c>
      <c r="J20" s="11">
        <f>J14/J21</f>
        <v/>
      </c>
      <c r="K20" s="11">
        <f>K14/K21</f>
        <v/>
      </c>
      <c r="L20" s="11">
        <f>L14/L21</f>
        <v/>
      </c>
      <c r="M20" s="11">
        <f>M14/M21</f>
        <v/>
      </c>
      <c r="N20" s="11">
        <f>N14/N21</f>
        <v/>
      </c>
      <c r="O20" s="11">
        <f>O14/O21</f>
        <v/>
      </c>
      <c r="P20" s="11">
        <f>P14/P21</f>
        <v/>
      </c>
      <c r="Q20" s="11">
        <f>Q14/Q21</f>
        <v/>
      </c>
      <c r="R20" s="11">
        <f>R14/R21</f>
        <v/>
      </c>
      <c r="S20" s="11">
        <f>S14/S21</f>
        <v/>
      </c>
      <c r="T20" s="11">
        <f>T14/T21</f>
        <v/>
      </c>
      <c r="U20" s="11">
        <f>U14/U21</f>
        <v/>
      </c>
      <c r="V20" s="11">
        <f>V14/V21</f>
        <v/>
      </c>
      <c r="W20" s="11">
        <f>W14/W21</f>
        <v/>
      </c>
      <c r="X20" s="9">
        <f>X14/X21</f>
        <v/>
      </c>
      <c r="Y20" s="9">
        <f>Y14/Y21</f>
        <v/>
      </c>
      <c r="Z20" s="9">
        <f>Z14/Z21</f>
        <v/>
      </c>
      <c r="AA20" s="9">
        <f>AA14/AA21</f>
        <v/>
      </c>
    </row>
    <row r="21" ht="14.25" customHeight="1">
      <c r="A21" s="8" t="inlineStr">
        <is>
          <t>EPS</t>
        </is>
      </c>
      <c r="B21" s="6">
        <f>B10/B13</f>
        <v/>
      </c>
      <c r="C21" s="6">
        <f>C10/C13</f>
        <v/>
      </c>
      <c r="D21" s="6">
        <f>D10/D13</f>
        <v/>
      </c>
      <c r="E21" s="6">
        <f>E10/E13</f>
        <v/>
      </c>
      <c r="F21" s="6">
        <f>F10/F13</f>
        <v/>
      </c>
      <c r="G21" s="6">
        <f>G10/G13</f>
        <v/>
      </c>
      <c r="H21" s="6">
        <f>H10/H13</f>
        <v/>
      </c>
      <c r="I21" s="6">
        <f>I10/I13</f>
        <v/>
      </c>
      <c r="J21" s="6">
        <f>J10/J13</f>
        <v/>
      </c>
      <c r="K21" s="6">
        <f>K10/K13</f>
        <v/>
      </c>
      <c r="L21" s="6">
        <f>L10/L13</f>
        <v/>
      </c>
      <c r="M21" s="6">
        <f>M10/M13</f>
        <v/>
      </c>
      <c r="N21" s="6">
        <f>N10/N13</f>
        <v/>
      </c>
      <c r="O21" s="6">
        <f>O10/O13</f>
        <v/>
      </c>
      <c r="P21" s="6">
        <f>P10/P13</f>
        <v/>
      </c>
      <c r="Q21" s="6">
        <f>Q10/Q13</f>
        <v/>
      </c>
      <c r="R21" s="6">
        <f>R10/R13</f>
        <v/>
      </c>
      <c r="S21" s="6">
        <f>S10/S13</f>
        <v/>
      </c>
      <c r="T21" s="6">
        <f>T10/T13</f>
        <v/>
      </c>
      <c r="U21" s="6">
        <f>U10/U13</f>
        <v/>
      </c>
      <c r="V21" s="6">
        <f>V10/V13</f>
        <v/>
      </c>
      <c r="W21" s="6">
        <f>W10/W13</f>
        <v/>
      </c>
      <c r="X21" s="9">
        <f>X10/X13</f>
        <v/>
      </c>
      <c r="Y21" s="9">
        <f>Y10/Y13</f>
        <v/>
      </c>
      <c r="Z21" s="9">
        <f>Z10/Z13</f>
        <v/>
      </c>
      <c r="AA21" s="9">
        <f>AA10/AA13</f>
        <v/>
      </c>
    </row>
    <row r="22" ht="14.25" customHeight="1">
      <c r="A22" s="8" t="inlineStr">
        <is>
          <t>DER</t>
        </is>
      </c>
      <c r="B22" s="10">
        <f>B7/B9</f>
        <v/>
      </c>
      <c r="C22" s="10">
        <f>C7/C9</f>
        <v/>
      </c>
      <c r="D22" s="10">
        <f>D7/D9</f>
        <v/>
      </c>
      <c r="E22" s="10">
        <f>E7/E9</f>
        <v/>
      </c>
      <c r="F22" s="10">
        <f>F7/F9</f>
        <v/>
      </c>
      <c r="G22" s="10">
        <f>G7/G9</f>
        <v/>
      </c>
      <c r="H22" s="10">
        <f>H7/H9</f>
        <v/>
      </c>
      <c r="I22" s="10">
        <f>I7/I9</f>
        <v/>
      </c>
      <c r="J22" s="10">
        <f>J7/J9</f>
        <v/>
      </c>
      <c r="K22" s="10">
        <f>K7/K9</f>
        <v/>
      </c>
      <c r="L22" s="10">
        <f>L7/L9</f>
        <v/>
      </c>
      <c r="M22" s="10">
        <f>M7/M9</f>
        <v/>
      </c>
      <c r="N22" s="10">
        <f>N7/N9</f>
        <v/>
      </c>
      <c r="O22" s="10">
        <f>O7/O9</f>
        <v/>
      </c>
      <c r="P22" s="10">
        <f>P7/P9</f>
        <v/>
      </c>
      <c r="Q22" s="10">
        <f>Q7/Q9</f>
        <v/>
      </c>
      <c r="R22" s="10">
        <f>R7/R9</f>
        <v/>
      </c>
      <c r="S22" s="10">
        <f>S7/S9</f>
        <v/>
      </c>
      <c r="T22" s="10">
        <f>T7/T9</f>
        <v/>
      </c>
      <c r="U22" s="10">
        <f>U7/U9</f>
        <v/>
      </c>
      <c r="V22" s="10">
        <f>V7/V9</f>
        <v/>
      </c>
      <c r="W22" s="10">
        <f>W7/W9</f>
        <v/>
      </c>
      <c r="X22" s="10">
        <f>X7/X9</f>
        <v/>
      </c>
      <c r="Y22" s="10">
        <f>Y7/Y9</f>
        <v/>
      </c>
      <c r="Z22" s="10">
        <f>Z7/Z9</f>
        <v/>
      </c>
      <c r="AA22" s="10">
        <f>AA7/AA9</f>
        <v/>
      </c>
    </row>
    <row r="23" ht="14.25" customHeight="1"/>
    <row r="24" ht="14.25" customHeight="1">
      <c r="C24" s="17" t="n"/>
      <c r="D24" s="17" t="n"/>
      <c r="E24" s="17" t="n"/>
      <c r="F24" s="17" t="n"/>
      <c r="G24" s="17" t="n"/>
      <c r="H24" s="17" t="n"/>
      <c r="I24" s="17" t="n"/>
      <c r="J24" s="17" t="n"/>
      <c r="K24" s="17" t="n"/>
      <c r="L24" s="17" t="n"/>
      <c r="M24" s="17" t="n"/>
      <c r="N24" s="17" t="n"/>
      <c r="O24" s="17" t="n"/>
      <c r="P24" s="17" t="n"/>
      <c r="Q24" s="17" t="n"/>
      <c r="R24" s="17" t="n"/>
      <c r="S24" s="17" t="n"/>
      <c r="T24" s="17" t="n"/>
    </row>
    <row r="25" ht="14.25" customHeight="1">
      <c r="C25" s="17" t="n"/>
      <c r="D25" s="17" t="n"/>
      <c r="E25" s="17" t="n"/>
      <c r="F25" s="17" t="n"/>
      <c r="G25" s="17" t="n"/>
      <c r="H25" s="17" t="n"/>
      <c r="I25" s="17" t="n"/>
      <c r="J25" s="17" t="n"/>
      <c r="K25" s="17" t="n"/>
      <c r="L25" s="17" t="n"/>
    </row>
    <row r="26" ht="14.25" customHeight="1">
      <c r="K26" s="17" t="n"/>
      <c r="L26" s="17" t="n"/>
      <c r="M26" s="17" t="n"/>
      <c r="N26" s="17" t="n"/>
      <c r="O26" s="17" t="n"/>
      <c r="P26" s="17" t="n"/>
      <c r="Q26" s="17" t="n"/>
      <c r="R26" s="17" t="n"/>
      <c r="S26" s="17" t="n"/>
      <c r="T26" s="19" t="n"/>
    </row>
    <row r="27" ht="14.25" customHeight="1">
      <c r="K27" s="17" t="n"/>
      <c r="L27" s="17" t="n"/>
      <c r="M27" s="17" t="n"/>
      <c r="N27" s="17" t="n"/>
      <c r="O27" s="17" t="n"/>
      <c r="P27" s="17" t="n"/>
      <c r="Q27" s="17" t="n"/>
      <c r="R27" s="17" t="n"/>
      <c r="S27" s="17" t="n"/>
      <c r="T27" s="17" t="n"/>
    </row>
    <row r="28" ht="14.25" customHeight="1">
      <c r="K28" s="17" t="n"/>
      <c r="L28" s="17" t="n"/>
      <c r="M28" s="17" t="n"/>
      <c r="N28" s="17" t="n"/>
      <c r="O28" s="17" t="n"/>
      <c r="P28" s="17" t="n"/>
      <c r="Q28" s="17" t="n"/>
      <c r="R28" s="17" t="n"/>
      <c r="S28" s="17" t="n"/>
      <c r="T28" s="17" t="n"/>
    </row>
    <row r="29" ht="14.25" customHeight="1">
      <c r="K29" s="17" t="n"/>
      <c r="L29" s="17" t="n"/>
      <c r="M29" s="17" t="n"/>
      <c r="N29" s="17" t="n"/>
      <c r="O29" s="17" t="n"/>
      <c r="P29" s="17" t="n"/>
      <c r="Q29" s="17" t="n"/>
      <c r="R29" s="17" t="n"/>
      <c r="S29" s="17" t="n"/>
      <c r="T29" s="17" t="n"/>
    </row>
    <row r="30" ht="14.25" customHeight="1"/>
    <row r="31" ht="14.25" customHeight="1"/>
    <row r="32" ht="14.25" customHeight="1"/>
    <row r="33" ht="14.25" customHeight="1"/>
    <row r="34" ht="14.25" customHeight="1"/>
    <row r="35" ht="14.25" customHeight="1"/>
    <row r="36" ht="14.25" customHeight="1"/>
    <row r="37" ht="14.25" customHeight="1"/>
    <row r="38" ht="14.25" customHeight="1"/>
    <row r="39" ht="14.25" customHeight="1"/>
    <row r="40" ht="14.25" customHeight="1"/>
    <row r="41" ht="14.25" customHeight="1"/>
    <row r="42" ht="14.25" customHeight="1"/>
    <row r="43" ht="14.25" customHeight="1"/>
    <row r="44" ht="14.25" customHeight="1"/>
    <row r="45" ht="14.25" customHeight="1"/>
    <row r="46" ht="14.25" customHeight="1"/>
    <row r="47" ht="14.25" customHeight="1"/>
    <row r="48" ht="14.25" customHeight="1"/>
    <row r="49" ht="14.25" customHeight="1"/>
    <row r="50" ht="14.25" customHeight="1"/>
    <row r="51" ht="14.25" customHeight="1"/>
    <row r="52" ht="14.25" customHeight="1"/>
    <row r="53" ht="14.25" customHeight="1"/>
    <row r="54" ht="14.25" customHeight="1"/>
    <row r="55" ht="14.25" customHeight="1"/>
    <row r="56" ht="14.25" customHeight="1"/>
    <row r="57" ht="14.25" customHeight="1"/>
    <row r="58" ht="14.25" customHeight="1"/>
    <row r="59" ht="14.25" customHeight="1"/>
    <row r="60" ht="14.25" customHeight="1"/>
    <row r="61" ht="14.25" customHeight="1"/>
    <row r="62" ht="14.25" customHeight="1"/>
    <row r="63" ht="14.25" customHeight="1"/>
    <row r="64" ht="14.25" customHeight="1"/>
    <row r="65" ht="14.25" customHeight="1"/>
    <row r="66" ht="14.25" customHeight="1"/>
    <row r="67" ht="14.25" customHeight="1"/>
    <row r="68" ht="14.25" customHeight="1"/>
    <row r="69" ht="14.25" customHeight="1"/>
    <row r="70" ht="14.25" customHeight="1"/>
    <row r="71" ht="14.25" customHeight="1"/>
    <row r="72" ht="14.25" customHeight="1"/>
    <row r="73" ht="14.25" customHeight="1"/>
    <row r="74" ht="14.25" customHeight="1"/>
    <row r="75" ht="14.25" customHeight="1"/>
    <row r="76" ht="14.25" customHeight="1"/>
    <row r="77" ht="14.25" customHeight="1"/>
    <row r="78" ht="14.25" customHeight="1"/>
    <row r="79" ht="14.25" customHeight="1"/>
    <row r="80" ht="14.25" customHeight="1"/>
    <row r="81" ht="14.25" customHeight="1"/>
    <row r="82" ht="14.25" customHeight="1"/>
    <row r="83" ht="14.25" customHeight="1"/>
    <row r="84" ht="14.25" customHeight="1"/>
    <row r="85" ht="14.25" customHeight="1"/>
    <row r="86" ht="14.25" customHeight="1"/>
    <row r="87" ht="14.25" customHeight="1"/>
    <row r="88" ht="14.25" customHeight="1"/>
    <row r="89" ht="14.25" customHeight="1"/>
    <row r="90" ht="14.25" customHeight="1"/>
    <row r="91" ht="14.25" customHeight="1"/>
    <row r="92" ht="14.25" customHeight="1"/>
    <row r="93" ht="14.25" customHeight="1"/>
    <row r="94" ht="14.25" customHeight="1"/>
    <row r="95" ht="14.25" customHeight="1"/>
    <row r="96" ht="14.25" customHeight="1"/>
    <row r="97" ht="14.25" customHeight="1"/>
    <row r="98" ht="14.25" customHeight="1"/>
    <row r="99" ht="14.25" customHeight="1"/>
    <row r="100" ht="14.25" customHeight="1"/>
    <row r="101" ht="14.25" customHeight="1"/>
    <row r="102" ht="14.25" customHeight="1"/>
    <row r="103" ht="14.25" customHeight="1"/>
    <row r="104" ht="14.25" customHeight="1"/>
    <row r="105" ht="14.25" customHeight="1"/>
    <row r="106" ht="14.25" customHeight="1"/>
    <row r="107" ht="14.25" customHeight="1"/>
    <row r="108" ht="14.25" customHeight="1"/>
    <row r="109" ht="14.25" customHeight="1"/>
    <row r="110" ht="14.25" customHeight="1"/>
    <row r="111" ht="14.25" customHeight="1"/>
    <row r="112" ht="14.25" customHeight="1"/>
    <row r="113" ht="14.25" customHeight="1"/>
    <row r="114" ht="14.25" customHeight="1"/>
    <row r="115" ht="14.25" customHeight="1"/>
    <row r="116" ht="14.25" customHeight="1"/>
    <row r="117" ht="14.25" customHeight="1"/>
    <row r="118" ht="14.25" customHeight="1"/>
    <row r="119" ht="14.25" customHeight="1"/>
    <row r="120" ht="14.25" customHeight="1"/>
    <row r="121" ht="14.25" customHeight="1"/>
    <row r="122" ht="14.25" customHeight="1"/>
    <row r="123" ht="14.25" customHeight="1"/>
    <row r="124" ht="14.25" customHeight="1"/>
    <row r="125" ht="14.25" customHeight="1"/>
    <row r="126" ht="14.25" customHeight="1"/>
    <row r="127" ht="14.25" customHeight="1"/>
    <row r="128" ht="14.25" customHeight="1"/>
    <row r="129" ht="14.25" customHeight="1"/>
    <row r="130" ht="14.25" customHeight="1"/>
    <row r="131" ht="14.25" customHeight="1"/>
    <row r="132" ht="14.25" customHeight="1"/>
    <row r="133" ht="14.25" customHeight="1"/>
    <row r="134" ht="14.25" customHeight="1"/>
    <row r="135" ht="14.25" customHeight="1"/>
    <row r="136" ht="14.25" customHeight="1"/>
    <row r="137" ht="14.25" customHeight="1"/>
    <row r="138" ht="14.25" customHeight="1"/>
    <row r="139" ht="14.25" customHeight="1"/>
    <row r="140" ht="14.25" customHeight="1"/>
    <row r="141" ht="14.25" customHeight="1"/>
    <row r="142" ht="14.25" customHeight="1"/>
    <row r="143" ht="14.25" customHeight="1"/>
    <row r="144" ht="14.25" customHeight="1"/>
    <row r="145" ht="14.25" customHeight="1"/>
    <row r="146" ht="14.25" customHeight="1"/>
    <row r="147" ht="14.25" customHeight="1"/>
    <row r="148" ht="14.25" customHeight="1"/>
    <row r="149" ht="14.25" customHeight="1"/>
    <row r="150" ht="14.25" customHeight="1"/>
    <row r="151" ht="14.25" customHeight="1"/>
    <row r="152" ht="14.25" customHeight="1"/>
    <row r="153" ht="14.25" customHeight="1"/>
    <row r="154" ht="14.25" customHeight="1"/>
    <row r="155" ht="14.25" customHeight="1"/>
    <row r="156" ht="14.25" customHeight="1"/>
    <row r="157" ht="14.25" customHeight="1"/>
    <row r="158" ht="14.25" customHeight="1"/>
    <row r="159" ht="14.25" customHeight="1"/>
    <row r="160" ht="14.25" customHeight="1"/>
    <row r="161" ht="14.25" customHeight="1"/>
    <row r="162" ht="14.25" customHeight="1"/>
    <row r="163" ht="14.25" customHeight="1"/>
    <row r="164" ht="14.25" customHeight="1"/>
    <row r="165" ht="14.25" customHeight="1"/>
    <row r="166" ht="14.25" customHeight="1"/>
    <row r="167" ht="14.25" customHeight="1"/>
    <row r="168" ht="14.25" customHeight="1"/>
    <row r="169" ht="14.25" customHeight="1"/>
    <row r="170" ht="14.25" customHeight="1"/>
    <row r="171" ht="14.25" customHeight="1"/>
    <row r="172" ht="14.25" customHeight="1"/>
    <row r="173" ht="14.25" customHeight="1"/>
    <row r="174" ht="14.25" customHeight="1"/>
    <row r="175" ht="14.25" customHeight="1"/>
    <row r="176" ht="14.25" customHeight="1"/>
    <row r="177" ht="14.25" customHeight="1"/>
    <row r="178" ht="14.25" customHeight="1"/>
    <row r="179" ht="14.25" customHeight="1"/>
    <row r="180" ht="14.25" customHeight="1"/>
    <row r="181" ht="14.25" customHeight="1"/>
    <row r="182" ht="14.25" customHeight="1"/>
    <row r="183" ht="14.25" customHeight="1"/>
    <row r="184" ht="14.25" customHeight="1"/>
    <row r="185" ht="14.25" customHeight="1"/>
    <row r="186" ht="14.25" customHeight="1"/>
    <row r="187" ht="14.25" customHeight="1"/>
    <row r="188" ht="14.25" customHeight="1"/>
    <row r="189" ht="14.25" customHeight="1"/>
    <row r="190" ht="14.25" customHeight="1"/>
    <row r="191" ht="14.25" customHeight="1"/>
    <row r="192" ht="14.25" customHeight="1"/>
    <row r="193" ht="14.25" customHeight="1"/>
    <row r="194" ht="14.25" customHeight="1"/>
    <row r="195" ht="14.25" customHeight="1"/>
    <row r="196" ht="14.25" customHeight="1"/>
    <row r="197" ht="14.25" customHeight="1"/>
    <row r="198" ht="14.25" customHeight="1"/>
    <row r="199" ht="14.25" customHeight="1"/>
    <row r="200" ht="14.25" customHeight="1"/>
    <row r="201" ht="14.25" customHeight="1"/>
    <row r="202" ht="14.25" customHeight="1"/>
    <row r="203" ht="14.25" customHeight="1"/>
    <row r="204" ht="14.25" customHeight="1"/>
    <row r="205" ht="14.25" customHeight="1"/>
    <row r="206" ht="14.25" customHeight="1"/>
    <row r="207" ht="14.25" customHeight="1"/>
    <row r="208" ht="14.25" customHeight="1"/>
    <row r="209" ht="14.25" customHeight="1"/>
    <row r="210" ht="14.25" customHeight="1"/>
    <row r="211" ht="14.25" customHeight="1"/>
    <row r="212" ht="14.25" customHeight="1"/>
    <row r="213" ht="14.25" customHeight="1"/>
    <row r="214" ht="14.25" customHeight="1"/>
    <row r="215" ht="14.25" customHeight="1"/>
    <row r="216" ht="14.25" customHeight="1"/>
    <row r="217" ht="14.25" customHeight="1"/>
    <row r="218" ht="14.25" customHeight="1"/>
    <row r="219" ht="14.25" customHeight="1"/>
    <row r="220" ht="14.25" customHeight="1"/>
    <row r="221" ht="14.25" customHeight="1"/>
    <row r="222" ht="14.25" customHeight="1"/>
    <row r="223" ht="14.25" customHeight="1"/>
    <row r="224" ht="14.25" customHeight="1"/>
    <row r="225" ht="14.25" customHeight="1"/>
    <row r="226" ht="14.25" customHeight="1"/>
    <row r="227" ht="14.25" customHeight="1"/>
    <row r="228" ht="14.25" customHeight="1"/>
    <row r="229" ht="14.25" customHeight="1"/>
    <row r="230" ht="14.25" customHeight="1"/>
    <row r="231" ht="14.25" customHeight="1"/>
    <row r="232" ht="14.25" customHeight="1"/>
    <row r="233" ht="14.25" customHeight="1"/>
    <row r="234" ht="14.25" customHeight="1"/>
    <row r="235" ht="14.25" customHeight="1"/>
    <row r="236" ht="14.25" customHeight="1"/>
    <row r="237" ht="14.25" customHeight="1"/>
    <row r="238" ht="14.25" customHeight="1"/>
    <row r="239" ht="14.25" customHeight="1"/>
    <row r="240" ht="14.25" customHeight="1"/>
    <row r="241" ht="14.25" customHeight="1"/>
    <row r="242" ht="14.25" customHeight="1"/>
    <row r="243" ht="14.25" customHeight="1"/>
    <row r="244" ht="14.25" customHeight="1"/>
    <row r="245" ht="14.25" customHeight="1"/>
    <row r="246" ht="14.25" customHeight="1"/>
    <row r="247" ht="14.25" customHeight="1"/>
    <row r="248" ht="14.25" customHeight="1"/>
    <row r="249" ht="14.25" customHeight="1"/>
    <row r="250" ht="14.25" customHeight="1"/>
    <row r="251" ht="14.25" customHeight="1"/>
    <row r="252" ht="14.25" customHeight="1"/>
    <row r="253" ht="14.25" customHeight="1"/>
    <row r="254" ht="14.25" customHeight="1"/>
    <row r="255" ht="14.25" customHeight="1"/>
    <row r="256" ht="14.25" customHeight="1"/>
    <row r="257" ht="14.25" customHeight="1"/>
    <row r="258" ht="14.25" customHeight="1"/>
    <row r="259" ht="14.25" customHeight="1"/>
    <row r="260" ht="14.25" customHeight="1"/>
    <row r="261" ht="14.25" customHeight="1"/>
    <row r="262" ht="14.25" customHeight="1"/>
    <row r="263" ht="14.25" customHeight="1"/>
    <row r="264" ht="14.25" customHeight="1"/>
    <row r="265" ht="14.25" customHeight="1"/>
    <row r="266" ht="14.25" customHeight="1"/>
    <row r="267" ht="14.25" customHeight="1"/>
    <row r="268" ht="14.25" customHeight="1"/>
    <row r="269" ht="14.25" customHeight="1"/>
    <row r="270" ht="14.25" customHeight="1"/>
    <row r="271" ht="14.25" customHeight="1"/>
    <row r="272" ht="14.25" customHeight="1"/>
    <row r="273" ht="14.25" customHeight="1"/>
    <row r="274" ht="14.25" customHeight="1"/>
    <row r="275" ht="14.25" customHeight="1"/>
    <row r="276" ht="14.25" customHeight="1"/>
    <row r="277" ht="14.25" customHeight="1"/>
    <row r="278" ht="14.25" customHeight="1"/>
    <row r="279" ht="14.25" customHeight="1"/>
    <row r="280" ht="14.25" customHeight="1"/>
    <row r="281" ht="14.25" customHeight="1"/>
    <row r="282" ht="14.25" customHeight="1"/>
    <row r="283" ht="14.25" customHeight="1"/>
    <row r="284" ht="14.25" customHeight="1"/>
    <row r="285" ht="14.25" customHeight="1"/>
    <row r="286" ht="14.25" customHeight="1"/>
    <row r="287" ht="14.25" customHeight="1"/>
    <row r="288" ht="14.25" customHeight="1"/>
    <row r="289" ht="14.25" customHeight="1"/>
    <row r="290" ht="14.25" customHeight="1"/>
    <row r="291" ht="14.25" customHeight="1"/>
    <row r="292" ht="14.25" customHeight="1"/>
    <row r="293" ht="14.25" customHeight="1"/>
    <row r="294" ht="14.25" customHeight="1"/>
    <row r="295" ht="14.25" customHeight="1"/>
    <row r="296" ht="14.25" customHeight="1"/>
    <row r="297" ht="14.25" customHeight="1"/>
    <row r="298" ht="14.25" customHeight="1"/>
    <row r="299" ht="14.25" customHeight="1"/>
    <row r="300" ht="14.25" customHeight="1"/>
    <row r="301" ht="14.25" customHeight="1"/>
    <row r="302" ht="14.25" customHeight="1"/>
    <row r="303" ht="14.25" customHeight="1"/>
    <row r="304" ht="14.25" customHeight="1"/>
    <row r="305" ht="14.25" customHeight="1"/>
    <row r="306" ht="14.25" customHeight="1"/>
    <row r="307" ht="14.25" customHeight="1"/>
    <row r="308" ht="14.25" customHeight="1"/>
    <row r="309" ht="14.25" customHeight="1"/>
    <row r="310" ht="14.25" customHeight="1"/>
    <row r="311" ht="14.25" customHeight="1"/>
    <row r="312" ht="14.25" customHeight="1"/>
    <row r="313" ht="14.25" customHeight="1"/>
    <row r="314" ht="14.25" customHeight="1"/>
    <row r="315" ht="14.25" customHeight="1"/>
    <row r="316" ht="14.25" customHeight="1"/>
    <row r="317" ht="14.25" customHeight="1"/>
    <row r="318" ht="14.25" customHeight="1"/>
    <row r="319" ht="14.25" customHeight="1"/>
    <row r="320" ht="14.25" customHeight="1"/>
    <row r="321" ht="14.25" customHeight="1"/>
    <row r="322" ht="14.25" customHeight="1"/>
    <row r="323" ht="14.25" customHeight="1"/>
    <row r="324" ht="14.25" customHeight="1"/>
    <row r="325" ht="14.25" customHeight="1"/>
    <row r="326" ht="14.25" customHeight="1"/>
    <row r="327" ht="14.25" customHeight="1"/>
    <row r="328" ht="14.25" customHeight="1"/>
    <row r="329" ht="14.25" customHeight="1"/>
    <row r="330" ht="14.25" customHeight="1"/>
    <row r="331" ht="14.25" customHeight="1"/>
    <row r="332" ht="14.25" customHeight="1"/>
    <row r="333" ht="14.25" customHeight="1"/>
    <row r="334" ht="14.25" customHeight="1"/>
    <row r="335" ht="14.25" customHeight="1"/>
    <row r="336" ht="14.25" customHeight="1"/>
    <row r="337" ht="14.25" customHeight="1"/>
    <row r="338" ht="14.25" customHeight="1"/>
    <row r="339" ht="14.25" customHeight="1"/>
    <row r="340" ht="14.25" customHeight="1"/>
    <row r="341" ht="14.25" customHeight="1"/>
    <row r="342" ht="14.25" customHeight="1"/>
    <row r="343" ht="14.25" customHeight="1"/>
    <row r="344" ht="14.25" customHeight="1"/>
    <row r="345" ht="14.25" customHeight="1"/>
    <row r="346" ht="14.25" customHeight="1"/>
    <row r="347" ht="14.25" customHeight="1"/>
    <row r="348" ht="14.25" customHeight="1"/>
    <row r="349" ht="14.25" customHeight="1"/>
    <row r="350" ht="14.25" customHeight="1"/>
    <row r="351" ht="14.25" customHeight="1"/>
    <row r="352" ht="14.25" customHeight="1"/>
    <row r="353" ht="14.25" customHeight="1"/>
    <row r="354" ht="14.25" customHeight="1"/>
    <row r="355" ht="14.25" customHeight="1"/>
    <row r="356" ht="14.25" customHeight="1"/>
    <row r="357" ht="14.25" customHeight="1"/>
    <row r="358" ht="14.25" customHeight="1"/>
    <row r="359" ht="14.25" customHeight="1"/>
    <row r="360" ht="14.25" customHeight="1"/>
    <row r="361" ht="14.25" customHeight="1"/>
    <row r="362" ht="14.25" customHeight="1"/>
    <row r="363" ht="14.25" customHeight="1"/>
    <row r="364" ht="14.25" customHeight="1"/>
    <row r="365" ht="14.25" customHeight="1"/>
    <row r="366" ht="14.25" customHeight="1"/>
    <row r="367" ht="14.25" customHeight="1"/>
    <row r="368" ht="14.25" customHeight="1"/>
    <row r="369" ht="14.25" customHeight="1"/>
    <row r="370" ht="14.25" customHeight="1"/>
    <row r="371" ht="14.25" customHeight="1"/>
    <row r="372" ht="14.25" customHeight="1"/>
    <row r="373" ht="14.25" customHeight="1"/>
    <row r="374" ht="14.25" customHeight="1"/>
    <row r="375" ht="14.25" customHeight="1"/>
    <row r="376" ht="14.25" customHeight="1"/>
    <row r="377" ht="14.25" customHeight="1"/>
    <row r="378" ht="14.25" customHeight="1"/>
    <row r="379" ht="14.25" customHeight="1"/>
    <row r="380" ht="14.25" customHeight="1"/>
    <row r="381" ht="14.25" customHeight="1"/>
    <row r="382" ht="14.25" customHeight="1"/>
    <row r="383" ht="14.25" customHeight="1"/>
    <row r="384" ht="14.25" customHeight="1"/>
    <row r="385" ht="14.25" customHeight="1"/>
    <row r="386" ht="14.25" customHeight="1"/>
    <row r="387" ht="14.25" customHeight="1"/>
    <row r="388" ht="14.25" customHeight="1"/>
    <row r="389" ht="14.25" customHeight="1"/>
    <row r="390" ht="14.25" customHeight="1"/>
    <row r="391" ht="14.25" customHeight="1"/>
    <row r="392" ht="14.25" customHeight="1"/>
    <row r="393" ht="14.25" customHeight="1"/>
    <row r="394" ht="14.25" customHeight="1"/>
    <row r="395" ht="14.25" customHeight="1"/>
    <row r="396" ht="14.25" customHeight="1"/>
    <row r="397" ht="14.25" customHeight="1"/>
    <row r="398" ht="14.25" customHeight="1"/>
    <row r="399" ht="14.25" customHeight="1"/>
    <row r="400" ht="14.25" customHeight="1"/>
    <row r="401" ht="14.25" customHeight="1"/>
    <row r="402" ht="14.25" customHeight="1"/>
    <row r="403" ht="14.25" customHeight="1"/>
    <row r="404" ht="14.25" customHeight="1"/>
    <row r="405" ht="14.25" customHeight="1"/>
    <row r="406" ht="14.25" customHeight="1"/>
    <row r="407" ht="14.25" customHeight="1"/>
    <row r="408" ht="14.25" customHeight="1"/>
    <row r="409" ht="14.25" customHeight="1"/>
    <row r="410" ht="14.25" customHeight="1"/>
    <row r="411" ht="14.25" customHeight="1"/>
    <row r="412" ht="14.25" customHeight="1"/>
    <row r="413" ht="14.25" customHeight="1"/>
    <row r="414" ht="14.25" customHeight="1"/>
    <row r="415" ht="14.25" customHeight="1"/>
    <row r="416" ht="14.25" customHeight="1"/>
    <row r="417" ht="14.25" customHeight="1"/>
    <row r="418" ht="14.25" customHeight="1"/>
    <row r="419" ht="14.25" customHeight="1"/>
    <row r="420" ht="14.25" customHeight="1"/>
    <row r="421" ht="14.25" customHeight="1"/>
    <row r="422" ht="14.25" customHeight="1"/>
    <row r="423" ht="14.25" customHeight="1"/>
    <row r="424" ht="14.25" customHeight="1"/>
    <row r="425" ht="14.25" customHeight="1"/>
    <row r="426" ht="14.25" customHeight="1"/>
    <row r="427" ht="14.25" customHeight="1"/>
    <row r="428" ht="14.25" customHeight="1"/>
    <row r="429" ht="14.25" customHeight="1"/>
    <row r="430" ht="14.25" customHeight="1"/>
    <row r="431" ht="14.25" customHeight="1"/>
    <row r="432" ht="14.25" customHeight="1"/>
    <row r="433" ht="14.25" customHeight="1"/>
    <row r="434" ht="14.25" customHeight="1"/>
    <row r="435" ht="14.25" customHeight="1"/>
    <row r="436" ht="14.25" customHeight="1"/>
    <row r="437" ht="14.25" customHeight="1"/>
    <row r="438" ht="14.25" customHeight="1"/>
    <row r="439" ht="14.25" customHeight="1"/>
    <row r="440" ht="14.25" customHeight="1"/>
    <row r="441" ht="14.25" customHeight="1"/>
    <row r="442" ht="14.25" customHeight="1"/>
    <row r="443" ht="14.25" customHeight="1"/>
    <row r="444" ht="14.25" customHeight="1"/>
    <row r="445" ht="14.25" customHeight="1"/>
    <row r="446" ht="14.25" customHeight="1"/>
    <row r="447" ht="14.25" customHeight="1"/>
    <row r="448" ht="14.25" customHeight="1"/>
    <row r="449" ht="14.25" customHeight="1"/>
    <row r="450" ht="14.25" customHeight="1"/>
    <row r="451" ht="14.25" customHeight="1"/>
    <row r="452" ht="14.25" customHeight="1"/>
    <row r="453" ht="14.25" customHeight="1"/>
    <row r="454" ht="14.25" customHeight="1"/>
    <row r="455" ht="14.25" customHeight="1"/>
    <row r="456" ht="14.25" customHeight="1"/>
    <row r="457" ht="14.25" customHeight="1"/>
    <row r="458" ht="14.25" customHeight="1"/>
    <row r="459" ht="14.25" customHeight="1"/>
    <row r="460" ht="14.25" customHeight="1"/>
    <row r="461" ht="14.25" customHeight="1"/>
    <row r="462" ht="14.25" customHeight="1"/>
    <row r="463" ht="14.25" customHeight="1"/>
    <row r="464" ht="14.25" customHeight="1"/>
    <row r="465" ht="14.25" customHeight="1"/>
    <row r="466" ht="14.25" customHeight="1"/>
    <row r="467" ht="14.25" customHeight="1"/>
    <row r="468" ht="14.25" customHeight="1"/>
    <row r="469" ht="14.25" customHeight="1"/>
    <row r="470" ht="14.25" customHeight="1"/>
    <row r="471" ht="14.25" customHeight="1"/>
    <row r="472" ht="14.25" customHeight="1"/>
    <row r="473" ht="14.25" customHeight="1"/>
    <row r="474" ht="14.25" customHeight="1"/>
    <row r="475" ht="14.25" customHeight="1"/>
    <row r="476" ht="14.25" customHeight="1"/>
    <row r="477" ht="14.25" customHeight="1"/>
    <row r="478" ht="14.25" customHeight="1"/>
    <row r="479" ht="14.25" customHeight="1"/>
    <row r="480" ht="14.25" customHeight="1"/>
    <row r="481" ht="14.25" customHeight="1"/>
    <row r="482" ht="14.25" customHeight="1"/>
    <row r="483" ht="14.25" customHeight="1"/>
    <row r="484" ht="14.25" customHeight="1"/>
    <row r="485" ht="14.25" customHeight="1"/>
    <row r="486" ht="14.25" customHeight="1"/>
    <row r="487" ht="14.25" customHeight="1"/>
    <row r="488" ht="14.25" customHeight="1"/>
    <row r="489" ht="14.25" customHeight="1"/>
    <row r="490" ht="14.25" customHeight="1"/>
    <row r="491" ht="14.25" customHeight="1"/>
    <row r="492" ht="14.25" customHeight="1"/>
    <row r="493" ht="14.25" customHeight="1"/>
    <row r="494" ht="14.25" customHeight="1"/>
    <row r="495" ht="14.25" customHeight="1"/>
    <row r="496" ht="14.25" customHeight="1"/>
    <row r="497" ht="14.25" customHeight="1"/>
    <row r="498" ht="14.25" customHeight="1"/>
    <row r="499" ht="14.25" customHeight="1"/>
    <row r="500" ht="14.25" customHeight="1"/>
    <row r="501" ht="14.25" customHeight="1"/>
    <row r="502" ht="14.25" customHeight="1"/>
    <row r="503" ht="14.25" customHeight="1"/>
    <row r="504" ht="14.25" customHeight="1"/>
    <row r="505" ht="14.25" customHeight="1"/>
    <row r="506" ht="14.25" customHeight="1"/>
    <row r="507" ht="14.25" customHeight="1"/>
    <row r="508" ht="14.25" customHeight="1"/>
    <row r="509" ht="14.25" customHeight="1"/>
    <row r="510" ht="14.25" customHeight="1"/>
    <row r="511" ht="14.25" customHeight="1"/>
    <row r="512" ht="14.25" customHeight="1"/>
    <row r="513" ht="14.25" customHeight="1"/>
    <row r="514" ht="14.25" customHeight="1"/>
    <row r="515" ht="14.25" customHeight="1"/>
    <row r="516" ht="14.25" customHeight="1"/>
    <row r="517" ht="14.25" customHeight="1"/>
    <row r="518" ht="14.25" customHeight="1"/>
    <row r="519" ht="14.25" customHeight="1"/>
    <row r="520" ht="14.25" customHeight="1"/>
    <row r="521" ht="14.25" customHeight="1"/>
    <row r="522" ht="14.25" customHeight="1"/>
    <row r="523" ht="14.25" customHeight="1"/>
    <row r="524" ht="14.25" customHeight="1"/>
    <row r="525" ht="14.25" customHeight="1"/>
    <row r="526" ht="14.25" customHeight="1"/>
    <row r="527" ht="14.25" customHeight="1"/>
    <row r="528" ht="14.25" customHeight="1"/>
    <row r="529" ht="14.25" customHeight="1"/>
    <row r="530" ht="14.25" customHeight="1"/>
    <row r="531" ht="14.25" customHeight="1"/>
    <row r="532" ht="14.25" customHeight="1"/>
    <row r="533" ht="14.25" customHeight="1"/>
    <row r="534" ht="14.25" customHeight="1"/>
    <row r="535" ht="14.25" customHeight="1"/>
    <row r="536" ht="14.25" customHeight="1"/>
    <row r="537" ht="14.25" customHeight="1"/>
    <row r="538" ht="14.25" customHeight="1"/>
    <row r="539" ht="14.25" customHeight="1"/>
    <row r="540" ht="14.25" customHeight="1"/>
    <row r="541" ht="14.25" customHeight="1"/>
    <row r="542" ht="14.25" customHeight="1"/>
    <row r="543" ht="14.25" customHeight="1"/>
    <row r="544" ht="14.25" customHeight="1"/>
    <row r="545" ht="14.25" customHeight="1"/>
    <row r="546" ht="14.25" customHeight="1"/>
    <row r="547" ht="14.25" customHeight="1"/>
    <row r="548" ht="14.25" customHeight="1"/>
    <row r="549" ht="14.25" customHeight="1"/>
    <row r="550" ht="14.25" customHeight="1"/>
    <row r="551" ht="14.25" customHeight="1"/>
    <row r="552" ht="14.25" customHeight="1"/>
    <row r="553" ht="14.25" customHeight="1"/>
    <row r="554" ht="14.25" customHeight="1"/>
    <row r="555" ht="14.25" customHeight="1"/>
    <row r="556" ht="14.25" customHeight="1"/>
    <row r="557" ht="14.25" customHeight="1"/>
    <row r="558" ht="14.25" customHeight="1"/>
    <row r="559" ht="14.25" customHeight="1"/>
    <row r="560" ht="14.25" customHeight="1"/>
    <row r="561" ht="14.25" customHeight="1"/>
    <row r="562" ht="14.25" customHeight="1"/>
    <row r="563" ht="14.25" customHeight="1"/>
    <row r="564" ht="14.25" customHeight="1"/>
    <row r="565" ht="14.25" customHeight="1"/>
    <row r="566" ht="14.25" customHeight="1"/>
    <row r="567" ht="14.25" customHeight="1"/>
    <row r="568" ht="14.25" customHeight="1"/>
    <row r="569" ht="14.25" customHeight="1"/>
    <row r="570" ht="14.25" customHeight="1"/>
    <row r="571" ht="14.25" customHeight="1"/>
    <row r="572" ht="14.25" customHeight="1"/>
    <row r="573" ht="14.25" customHeight="1"/>
    <row r="574" ht="14.25" customHeight="1"/>
    <row r="575" ht="14.25" customHeight="1"/>
    <row r="576" ht="14.25" customHeight="1"/>
    <row r="577" ht="14.25" customHeight="1"/>
    <row r="578" ht="14.25" customHeight="1"/>
    <row r="579" ht="14.25" customHeight="1"/>
    <row r="580" ht="14.25" customHeight="1"/>
    <row r="581" ht="14.25" customHeight="1"/>
    <row r="582" ht="14.25" customHeight="1"/>
    <row r="583" ht="14.25" customHeight="1"/>
    <row r="584" ht="14.25" customHeight="1"/>
    <row r="585" ht="14.25" customHeight="1"/>
    <row r="586" ht="14.25" customHeight="1"/>
    <row r="587" ht="14.25" customHeight="1"/>
    <row r="588" ht="14.25" customHeight="1"/>
    <row r="589" ht="14.25" customHeight="1"/>
    <row r="590" ht="14.25" customHeight="1"/>
    <row r="591" ht="14.25" customHeight="1"/>
    <row r="592" ht="14.25" customHeight="1"/>
    <row r="593" ht="14.25" customHeight="1"/>
    <row r="594" ht="14.25" customHeight="1"/>
    <row r="595" ht="14.25" customHeight="1"/>
    <row r="596" ht="14.25" customHeight="1"/>
    <row r="597" ht="14.25" customHeight="1"/>
    <row r="598" ht="14.25" customHeight="1"/>
    <row r="599" ht="14.25" customHeight="1"/>
    <row r="600" ht="14.25" customHeight="1"/>
    <row r="601" ht="14.25" customHeight="1"/>
    <row r="602" ht="14.25" customHeight="1"/>
    <row r="603" ht="14.25" customHeight="1"/>
    <row r="604" ht="14.25" customHeight="1"/>
    <row r="605" ht="14.25" customHeight="1"/>
    <row r="606" ht="14.25" customHeight="1"/>
    <row r="607" ht="14.25" customHeight="1"/>
    <row r="608" ht="14.25" customHeight="1"/>
    <row r="609" ht="14.25" customHeight="1"/>
    <row r="610" ht="14.25" customHeight="1"/>
    <row r="611" ht="14.25" customHeight="1"/>
    <row r="612" ht="14.25" customHeight="1"/>
    <row r="613" ht="14.25" customHeight="1"/>
    <row r="614" ht="14.25" customHeight="1"/>
    <row r="615" ht="14.25" customHeight="1"/>
    <row r="616" ht="14.25" customHeight="1"/>
    <row r="617" ht="14.25" customHeight="1"/>
    <row r="618" ht="14.25" customHeight="1"/>
    <row r="619" ht="14.25" customHeight="1"/>
    <row r="620" ht="14.25" customHeight="1"/>
    <row r="621" ht="14.25" customHeight="1"/>
    <row r="622" ht="14.25" customHeight="1"/>
    <row r="623" ht="14.25" customHeight="1"/>
    <row r="624" ht="14.25" customHeight="1"/>
    <row r="625" ht="14.25" customHeight="1"/>
    <row r="626" ht="14.25" customHeight="1"/>
    <row r="627" ht="14.25" customHeight="1"/>
    <row r="628" ht="14.25" customHeight="1"/>
    <row r="629" ht="14.25" customHeight="1"/>
    <row r="630" ht="14.25" customHeight="1"/>
    <row r="631" ht="14.25" customHeight="1"/>
    <row r="632" ht="14.25" customHeight="1"/>
    <row r="633" ht="14.25" customHeight="1"/>
    <row r="634" ht="14.25" customHeight="1"/>
    <row r="635" ht="14.25" customHeight="1"/>
    <row r="636" ht="14.25" customHeight="1"/>
    <row r="637" ht="14.25" customHeight="1"/>
    <row r="638" ht="14.25" customHeight="1"/>
    <row r="639" ht="14.25" customHeight="1"/>
    <row r="640" ht="14.25" customHeight="1"/>
    <row r="641" ht="14.25" customHeight="1"/>
    <row r="642" ht="14.25" customHeight="1"/>
    <row r="643" ht="14.25" customHeight="1"/>
    <row r="644" ht="14.25" customHeight="1"/>
    <row r="645" ht="14.25" customHeight="1"/>
    <row r="646" ht="14.25" customHeight="1"/>
    <row r="647" ht="14.25" customHeight="1"/>
    <row r="648" ht="14.25" customHeight="1"/>
    <row r="649" ht="14.25" customHeight="1"/>
    <row r="650" ht="14.25" customHeight="1"/>
    <row r="651" ht="14.25" customHeight="1"/>
    <row r="652" ht="14.25" customHeight="1"/>
    <row r="653" ht="14.25" customHeight="1"/>
    <row r="654" ht="14.25" customHeight="1"/>
    <row r="655" ht="14.25" customHeight="1"/>
    <row r="656" ht="14.25" customHeight="1"/>
    <row r="657" ht="14.25" customHeight="1"/>
    <row r="658" ht="14.25" customHeight="1"/>
    <row r="659" ht="14.25" customHeight="1"/>
    <row r="660" ht="14.25" customHeight="1"/>
    <row r="661" ht="14.25" customHeight="1"/>
    <row r="662" ht="14.25" customHeight="1"/>
    <row r="663" ht="14.25" customHeight="1"/>
    <row r="664" ht="14.25" customHeight="1"/>
    <row r="665" ht="14.25" customHeight="1"/>
    <row r="666" ht="14.25" customHeight="1"/>
    <row r="667" ht="14.25" customHeight="1"/>
    <row r="668" ht="14.25" customHeight="1"/>
    <row r="669" ht="14.25" customHeight="1"/>
    <row r="670" ht="14.25" customHeight="1"/>
    <row r="671" ht="14.25" customHeight="1"/>
    <row r="672" ht="14.25" customHeight="1"/>
    <row r="673" ht="14.25" customHeight="1"/>
    <row r="674" ht="14.25" customHeight="1"/>
    <row r="675" ht="14.25" customHeight="1"/>
    <row r="676" ht="14.25" customHeight="1"/>
    <row r="677" ht="14.25" customHeight="1"/>
    <row r="678" ht="14.25" customHeight="1"/>
    <row r="679" ht="14.25" customHeight="1"/>
    <row r="680" ht="14.25" customHeight="1"/>
    <row r="681" ht="14.25" customHeight="1"/>
    <row r="682" ht="14.25" customHeight="1"/>
    <row r="683" ht="14.25" customHeight="1"/>
    <row r="684" ht="14.25" customHeight="1"/>
    <row r="685" ht="14.25" customHeight="1"/>
    <row r="686" ht="14.25" customHeight="1"/>
    <row r="687" ht="14.25" customHeight="1"/>
    <row r="688" ht="14.25" customHeight="1"/>
    <row r="689" ht="14.25" customHeight="1"/>
    <row r="690" ht="14.25" customHeight="1"/>
    <row r="691" ht="14.25" customHeight="1"/>
    <row r="692" ht="14.25" customHeight="1"/>
    <row r="693" ht="14.25" customHeight="1"/>
    <row r="694" ht="14.25" customHeight="1"/>
    <row r="695" ht="14.25" customHeight="1"/>
    <row r="696" ht="14.25" customHeight="1"/>
    <row r="697" ht="14.25" customHeight="1"/>
    <row r="698" ht="14.25" customHeight="1"/>
    <row r="699" ht="14.25" customHeight="1"/>
    <row r="700" ht="14.25" customHeight="1"/>
    <row r="701" ht="14.25" customHeight="1"/>
    <row r="702" ht="14.25" customHeight="1"/>
    <row r="703" ht="14.25" customHeight="1"/>
    <row r="704" ht="14.25" customHeight="1"/>
    <row r="705" ht="14.25" customHeight="1"/>
    <row r="706" ht="14.25" customHeight="1"/>
    <row r="707" ht="14.25" customHeight="1"/>
    <row r="708" ht="14.25" customHeight="1"/>
    <row r="709" ht="14.25" customHeight="1"/>
    <row r="710" ht="14.25" customHeight="1"/>
    <row r="711" ht="14.25" customHeight="1"/>
    <row r="712" ht="14.25" customHeight="1"/>
    <row r="713" ht="14.25" customHeight="1"/>
    <row r="714" ht="14.25" customHeight="1"/>
    <row r="715" ht="14.25" customHeight="1"/>
    <row r="716" ht="14.25" customHeight="1"/>
    <row r="717" ht="14.25" customHeight="1"/>
    <row r="718" ht="14.25" customHeight="1"/>
    <row r="719" ht="14.25" customHeight="1"/>
    <row r="720" ht="14.25" customHeight="1"/>
    <row r="721" ht="14.25" customHeight="1"/>
    <row r="722" ht="14.25" customHeight="1"/>
    <row r="723" ht="14.25" customHeight="1"/>
    <row r="724" ht="14.25" customHeight="1"/>
    <row r="725" ht="14.25" customHeight="1"/>
    <row r="726" ht="14.25" customHeight="1"/>
    <row r="727" ht="14.25" customHeight="1"/>
    <row r="728" ht="14.25" customHeight="1"/>
    <row r="729" ht="14.25" customHeight="1"/>
    <row r="730" ht="14.25" customHeight="1"/>
    <row r="731" ht="14.25" customHeight="1"/>
    <row r="732" ht="14.25" customHeight="1"/>
    <row r="733" ht="14.25" customHeight="1"/>
    <row r="734" ht="14.25" customHeight="1"/>
    <row r="735" ht="14.25" customHeight="1"/>
    <row r="736" ht="14.25" customHeight="1"/>
    <row r="737" ht="14.25" customHeight="1"/>
    <row r="738" ht="14.25" customHeight="1"/>
    <row r="739" ht="14.25" customHeight="1"/>
    <row r="740" ht="14.25" customHeight="1"/>
    <row r="741" ht="14.25" customHeight="1"/>
    <row r="742" ht="14.25" customHeight="1"/>
    <row r="743" ht="14.25" customHeight="1"/>
    <row r="744" ht="14.25" customHeight="1"/>
    <row r="745" ht="14.25" customHeight="1"/>
    <row r="746" ht="14.25" customHeight="1"/>
    <row r="747" ht="14.25" customHeight="1"/>
    <row r="748" ht="14.25" customHeight="1"/>
    <row r="749" ht="14.25" customHeight="1"/>
    <row r="750" ht="14.25" customHeight="1"/>
    <row r="751" ht="14.25" customHeight="1"/>
    <row r="752" ht="14.25" customHeight="1"/>
    <row r="753" ht="14.25" customHeight="1"/>
    <row r="754" ht="14.25" customHeight="1"/>
    <row r="755" ht="14.25" customHeight="1"/>
    <row r="756" ht="14.25" customHeight="1"/>
    <row r="757" ht="14.25" customHeight="1"/>
    <row r="758" ht="14.25" customHeight="1"/>
    <row r="759" ht="14.25" customHeight="1"/>
    <row r="760" ht="14.25" customHeight="1"/>
    <row r="761" ht="14.25" customHeight="1"/>
    <row r="762" ht="14.25" customHeight="1"/>
    <row r="763" ht="14.25" customHeight="1"/>
    <row r="764" ht="14.25" customHeight="1"/>
    <row r="765" ht="14.25" customHeight="1"/>
    <row r="766" ht="14.25" customHeight="1"/>
    <row r="767" ht="14.25" customHeight="1"/>
    <row r="768" ht="14.25" customHeight="1"/>
    <row r="769" ht="14.25" customHeight="1"/>
    <row r="770" ht="14.25" customHeight="1"/>
    <row r="771" ht="14.25" customHeight="1"/>
    <row r="772" ht="14.25" customHeight="1"/>
    <row r="773" ht="14.25" customHeight="1"/>
    <row r="774" ht="14.25" customHeight="1"/>
    <row r="775" ht="14.25" customHeight="1"/>
    <row r="776" ht="14.25" customHeight="1"/>
    <row r="777" ht="14.25" customHeight="1"/>
    <row r="778" ht="14.25" customHeight="1"/>
    <row r="779" ht="14.25" customHeight="1"/>
    <row r="780" ht="14.25" customHeight="1"/>
    <row r="781" ht="14.25" customHeight="1"/>
    <row r="782" ht="14.25" customHeight="1"/>
    <row r="783" ht="14.25" customHeight="1"/>
    <row r="784" ht="14.25" customHeight="1"/>
    <row r="785" ht="14.25" customHeight="1"/>
    <row r="786" ht="14.25" customHeight="1"/>
    <row r="787" ht="14.25" customHeight="1"/>
    <row r="788" ht="14.25" customHeight="1"/>
    <row r="789" ht="14.25" customHeight="1"/>
    <row r="790" ht="14.25" customHeight="1"/>
    <row r="791" ht="14.25" customHeight="1"/>
    <row r="792" ht="14.25" customHeight="1"/>
    <row r="793" ht="14.25" customHeight="1"/>
    <row r="794" ht="14.25" customHeight="1"/>
    <row r="795" ht="14.25" customHeight="1"/>
    <row r="796" ht="14.25" customHeight="1"/>
    <row r="797" ht="14.25" customHeight="1"/>
    <row r="798" ht="14.25" customHeight="1"/>
    <row r="799" ht="14.25" customHeight="1"/>
    <row r="800" ht="14.25" customHeight="1"/>
    <row r="801" ht="14.25" customHeight="1"/>
    <row r="802" ht="14.25" customHeight="1"/>
    <row r="803" ht="14.25" customHeight="1"/>
    <row r="804" ht="14.25" customHeight="1"/>
    <row r="805" ht="14.25" customHeight="1"/>
    <row r="806" ht="14.25" customHeight="1"/>
    <row r="807" ht="14.25" customHeight="1"/>
    <row r="808" ht="14.25" customHeight="1"/>
    <row r="809" ht="14.25" customHeight="1"/>
    <row r="810" ht="14.25" customHeight="1"/>
    <row r="811" ht="14.25" customHeight="1"/>
    <row r="812" ht="14.25" customHeight="1"/>
    <row r="813" ht="14.25" customHeight="1"/>
    <row r="814" ht="14.25" customHeight="1"/>
    <row r="815" ht="14.25" customHeight="1"/>
    <row r="816" ht="14.25" customHeight="1"/>
    <row r="817" ht="14.25" customHeight="1"/>
    <row r="818" ht="14.25" customHeight="1"/>
    <row r="819" ht="14.25" customHeight="1"/>
    <row r="820" ht="14.25" customHeight="1"/>
    <row r="821" ht="14.25" customHeight="1"/>
    <row r="822" ht="14.25" customHeight="1"/>
    <row r="823" ht="14.25" customHeight="1"/>
    <row r="824" ht="14.25" customHeight="1"/>
    <row r="825" ht="14.25" customHeight="1"/>
    <row r="826" ht="14.25" customHeight="1"/>
    <row r="827" ht="14.25" customHeight="1"/>
    <row r="828" ht="14.25" customHeight="1"/>
    <row r="829" ht="14.25" customHeight="1"/>
    <row r="830" ht="14.25" customHeight="1"/>
    <row r="831" ht="14.25" customHeight="1"/>
    <row r="832" ht="14.25" customHeight="1"/>
    <row r="833" ht="14.25" customHeight="1"/>
    <row r="834" ht="14.25" customHeight="1"/>
    <row r="835" ht="14.25" customHeight="1"/>
    <row r="836" ht="14.25" customHeight="1"/>
    <row r="837" ht="14.25" customHeight="1"/>
    <row r="838" ht="14.25" customHeight="1"/>
    <row r="839" ht="14.25" customHeight="1"/>
    <row r="840" ht="14.25" customHeight="1"/>
    <row r="841" ht="14.25" customHeight="1"/>
    <row r="842" ht="14.25" customHeight="1"/>
    <row r="843" ht="14.25" customHeight="1"/>
    <row r="844" ht="14.25" customHeight="1"/>
    <row r="845" ht="14.25" customHeight="1"/>
    <row r="846" ht="14.25" customHeight="1"/>
    <row r="847" ht="14.25" customHeight="1"/>
    <row r="848" ht="14.25" customHeight="1"/>
    <row r="849" ht="14.25" customHeight="1"/>
    <row r="850" ht="14.25" customHeight="1"/>
    <row r="851" ht="14.25" customHeight="1"/>
    <row r="852" ht="14.25" customHeight="1"/>
    <row r="853" ht="14.25" customHeight="1"/>
    <row r="854" ht="14.25" customHeight="1"/>
    <row r="855" ht="14.25" customHeight="1"/>
    <row r="856" ht="14.25" customHeight="1"/>
    <row r="857" ht="14.25" customHeight="1"/>
    <row r="858" ht="14.25" customHeight="1"/>
    <row r="859" ht="14.25" customHeight="1"/>
    <row r="860" ht="14.25" customHeight="1"/>
    <row r="861" ht="14.25" customHeight="1"/>
    <row r="862" ht="14.25" customHeight="1"/>
    <row r="863" ht="14.25" customHeight="1"/>
    <row r="864" ht="14.25" customHeight="1"/>
    <row r="865" ht="14.25" customHeight="1"/>
    <row r="866" ht="14.25" customHeight="1"/>
    <row r="867" ht="14.25" customHeight="1"/>
    <row r="868" ht="14.25" customHeight="1"/>
    <row r="869" ht="14.25" customHeight="1"/>
    <row r="870" ht="14.25" customHeight="1"/>
    <row r="871" ht="14.25" customHeight="1"/>
    <row r="872" ht="14.25" customHeight="1"/>
    <row r="873" ht="14.25" customHeight="1"/>
    <row r="874" ht="14.25" customHeight="1"/>
    <row r="875" ht="14.25" customHeight="1"/>
    <row r="876" ht="14.25" customHeight="1"/>
    <row r="877" ht="14.25" customHeight="1"/>
    <row r="878" ht="14.25" customHeight="1"/>
    <row r="879" ht="14.25" customHeight="1"/>
    <row r="880" ht="14.25" customHeight="1"/>
    <row r="881" ht="14.25" customHeight="1"/>
    <row r="882" ht="14.25" customHeight="1"/>
    <row r="883" ht="14.25" customHeight="1"/>
    <row r="884" ht="14.25" customHeight="1"/>
    <row r="885" ht="14.25" customHeight="1"/>
    <row r="886" ht="14.25" customHeight="1"/>
    <row r="887" ht="14.25" customHeight="1"/>
    <row r="888" ht="14.25" customHeight="1"/>
    <row r="889" ht="14.25" customHeight="1"/>
    <row r="890" ht="14.25" customHeight="1"/>
    <row r="891" ht="14.25" customHeight="1"/>
    <row r="892" ht="14.25" customHeight="1"/>
    <row r="893" ht="14.25" customHeight="1"/>
    <row r="894" ht="14.25" customHeight="1"/>
    <row r="895" ht="14.25" customHeight="1"/>
    <row r="896" ht="14.25" customHeight="1"/>
    <row r="897" ht="14.25" customHeight="1"/>
    <row r="898" ht="14.25" customHeight="1"/>
    <row r="899" ht="14.25" customHeight="1"/>
    <row r="900" ht="14.25" customHeight="1"/>
    <row r="901" ht="14.25" customHeight="1"/>
    <row r="902" ht="14.25" customHeight="1"/>
    <row r="903" ht="14.25" customHeight="1"/>
    <row r="904" ht="14.25" customHeight="1"/>
    <row r="905" ht="14.25" customHeight="1"/>
    <row r="906" ht="14.25" customHeight="1"/>
    <row r="907" ht="14.25" customHeight="1"/>
    <row r="908" ht="14.25" customHeight="1"/>
    <row r="909" ht="14.25" customHeight="1"/>
    <row r="910" ht="14.25" customHeight="1"/>
    <row r="911" ht="14.25" customHeight="1"/>
    <row r="912" ht="14.25" customHeight="1"/>
    <row r="913" ht="14.25" customHeight="1"/>
    <row r="914" ht="14.25" customHeight="1"/>
    <row r="915" ht="14.25" customHeight="1"/>
    <row r="916" ht="14.25" customHeight="1"/>
    <row r="917" ht="14.25" customHeight="1"/>
    <row r="918" ht="14.25" customHeight="1"/>
    <row r="919" ht="14.25" customHeight="1"/>
    <row r="920" ht="14.25" customHeight="1"/>
    <row r="921" ht="14.25" customHeight="1"/>
    <row r="922" ht="14.25" customHeight="1"/>
    <row r="923" ht="14.25" customHeight="1"/>
    <row r="924" ht="14.25" customHeight="1"/>
    <row r="925" ht="14.25" customHeight="1"/>
    <row r="926" ht="14.25" customHeight="1"/>
    <row r="927" ht="14.25" customHeight="1"/>
    <row r="928" ht="14.25" customHeight="1"/>
    <row r="929" ht="14.25" customHeight="1"/>
    <row r="930" ht="14.25" customHeight="1"/>
    <row r="931" ht="14.25" customHeight="1"/>
    <row r="932" ht="14.25" customHeight="1"/>
    <row r="933" ht="14.25" customHeight="1"/>
    <row r="934" ht="14.25" customHeight="1"/>
    <row r="935" ht="14.25" customHeight="1"/>
    <row r="936" ht="14.25" customHeight="1"/>
    <row r="937" ht="14.25" customHeight="1"/>
    <row r="938" ht="14.25" customHeight="1"/>
    <row r="939" ht="14.25" customHeight="1"/>
    <row r="940" ht="14.25" customHeight="1"/>
    <row r="941" ht="14.25" customHeight="1"/>
    <row r="942" ht="14.25" customHeight="1"/>
    <row r="943" ht="14.25" customHeight="1"/>
    <row r="944" ht="14.25" customHeight="1"/>
    <row r="945" ht="14.25" customHeight="1"/>
    <row r="946" ht="14.25" customHeight="1"/>
    <row r="947" ht="14.25" customHeight="1"/>
    <row r="948" ht="14.25" customHeight="1"/>
    <row r="949" ht="14.25" customHeight="1"/>
    <row r="950" ht="14.25" customHeight="1"/>
    <row r="951" ht="14.25" customHeight="1"/>
    <row r="952" ht="14.25" customHeight="1"/>
    <row r="953" ht="14.25" customHeight="1"/>
    <row r="954" ht="14.25" customHeight="1"/>
    <row r="955" ht="14.25" customHeight="1"/>
    <row r="956" ht="14.25" customHeight="1"/>
    <row r="957" ht="14.25" customHeight="1"/>
    <row r="958" ht="14.25" customHeight="1"/>
    <row r="959" ht="14.25" customHeight="1"/>
    <row r="960" ht="14.25" customHeight="1"/>
    <row r="961" ht="14.25" customHeight="1"/>
    <row r="962" ht="14.25" customHeight="1"/>
    <row r="963" ht="14.25" customHeight="1"/>
    <row r="964" ht="14.25" customHeight="1"/>
    <row r="965" ht="14.25" customHeight="1"/>
    <row r="966" ht="14.25" customHeight="1"/>
    <row r="967" ht="14.25" customHeight="1"/>
    <row r="968" ht="14.25" customHeight="1"/>
    <row r="969" ht="14.25" customHeight="1"/>
    <row r="970" ht="14.25" customHeight="1"/>
    <row r="971" ht="14.25" customHeight="1"/>
    <row r="972" ht="14.25" customHeight="1"/>
    <row r="973" ht="14.25" customHeight="1"/>
    <row r="974" ht="14.25" customHeight="1"/>
    <row r="975" ht="14.25" customHeight="1"/>
    <row r="976" ht="14.25" customHeight="1"/>
    <row r="977" ht="14.25" customHeight="1"/>
    <row r="978" ht="14.25" customHeight="1"/>
    <row r="979" ht="14.25" customHeight="1"/>
    <row r="980" ht="14.25" customHeight="1"/>
    <row r="981" ht="14.25" customHeight="1"/>
    <row r="982" ht="14.25" customHeight="1"/>
    <row r="983" ht="14.25" customHeight="1"/>
    <row r="984" ht="14.25" customHeight="1"/>
    <row r="985" ht="14.25" customHeight="1"/>
    <row r="986" ht="14.25" customHeight="1"/>
    <row r="987" ht="14.25" customHeight="1"/>
    <row r="988" ht="14.25" customHeight="1"/>
    <row r="989" ht="14.25" customHeight="1"/>
    <row r="990" ht="14.25" customHeight="1"/>
    <row r="991" ht="14.25" customHeight="1"/>
    <row r="992" ht="14.25" customHeight="1"/>
    <row r="993" ht="14.25" customHeight="1"/>
    <row r="994" ht="14.25" customHeight="1"/>
    <row r="995" ht="14.25" customHeight="1"/>
    <row r="996" ht="14.25" customHeight="1"/>
    <row r="997" ht="14.25" customHeight="1"/>
    <row r="998" ht="14.25" customHeight="1"/>
    <row r="999" ht="14.25" customHeight="1"/>
    <row r="1000" ht="14.25" customHeight="1"/>
  </sheetData>
  <pageMargins left="0.7" right="0.7" top="0.75" bottom="0.75" header="0" footer="0"/>
  <pageSetup orientation="landscape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2"/>
  <sheetViews>
    <sheetView workbookViewId="0">
      <selection activeCell="H2" sqref="H2"/>
    </sheetView>
  </sheetViews>
  <sheetFormatPr baseColWidth="10" defaultRowHeight="15"/>
  <cols>
    <col width="11.83203125" bestFit="1" customWidth="1" min="3" max="3"/>
    <col width="19.33203125" bestFit="1" customWidth="1" min="4" max="4"/>
    <col width="17.33203125" bestFit="1" customWidth="1" min="6" max="8"/>
  </cols>
  <sheetData>
    <row r="1">
      <c r="A1" t="inlineStr">
        <is>
          <t>Kurs</t>
        </is>
      </c>
      <c r="B1" t="inlineStr">
        <is>
          <t>USD to IDR</t>
        </is>
      </c>
      <c r="C1" t="inlineStr">
        <is>
          <t>Value</t>
        </is>
      </c>
      <c r="D1" t="inlineStr">
        <is>
          <t>Converted</t>
        </is>
      </c>
    </row>
    <row r="2">
      <c r="A2" s="14" t="n">
        <v>0.0673</v>
      </c>
      <c r="B2">
        <f>1000/A2</f>
        <v/>
      </c>
      <c r="C2" s="15" t="n">
        <v>247029168</v>
      </c>
      <c r="D2" s="12">
        <f>B2*C2</f>
        <v/>
      </c>
      <c r="F2" s="16" t="n">
        <v>3868963000000</v>
      </c>
      <c r="G2" s="16" t="n">
        <v>555246000000</v>
      </c>
      <c r="H2" s="13">
        <f>F2+G2</f>
        <v/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0" summaryRight="0"/>
    <pageSetUpPr/>
  </sheetPr>
  <dimension ref="A1:D10"/>
  <sheetViews>
    <sheetView workbookViewId="0">
      <selection activeCell="A1" sqref="A1"/>
    </sheetView>
  </sheetViews>
  <sheetFormatPr baseColWidth="10" defaultColWidth="12.6640625" defaultRowHeight="15" customHeight="1"/>
  <cols>
    <col width="27.83203125" customWidth="1" min="1" max="1"/>
    <col width="25.1640625" customWidth="1" min="2" max="2"/>
    <col width="24.5" customWidth="1" min="3" max="3"/>
  </cols>
  <sheetData>
    <row r="1">
      <c r="A1" s="1" t="inlineStr">
        <is>
          <t>Perusahaan</t>
        </is>
      </c>
      <c r="B1" s="1" t="inlineStr">
        <is>
          <t xml:space="preserve">Lokasi </t>
        </is>
      </c>
      <c r="C1" s="1" t="inlineStr">
        <is>
          <t>Luasan</t>
        </is>
      </c>
      <c r="D1" s="1" t="inlineStr">
        <is>
          <t>Luasan</t>
        </is>
      </c>
    </row>
    <row r="2">
      <c r="A2" s="3" t="inlineStr">
        <is>
          <t>PT Cipta Davia Mandiri</t>
        </is>
      </c>
      <c r="B2" s="1" t="inlineStr">
        <is>
          <t xml:space="preserve">Kutai Timur, Kaltim </t>
        </is>
      </c>
      <c r="C2" s="1" t="n">
        <v>3734</v>
      </c>
      <c r="D2" s="1" t="inlineStr">
        <is>
          <t>Hektar</t>
        </is>
      </c>
    </row>
    <row r="3">
      <c r="A3" s="1" t="inlineStr">
        <is>
          <t>PT Cahaya Anugrah Plantation</t>
        </is>
      </c>
      <c r="B3" s="1" t="inlineStr">
        <is>
          <t>Kutai Kartanegara, Kaltim</t>
        </is>
      </c>
      <c r="C3" s="1" t="n">
        <v>6365</v>
      </c>
      <c r="D3" s="1" t="inlineStr">
        <is>
          <t>Hektar</t>
        </is>
      </c>
    </row>
    <row r="4">
      <c r="A4" s="3" t="inlineStr">
        <is>
          <t>Multi Jayantara Abadi</t>
        </is>
      </c>
      <c r="B4" s="3" t="inlineStr">
        <is>
          <t>Paser, Kaltim</t>
        </is>
      </c>
      <c r="C4" s="3" t="n">
        <v>6267</v>
      </c>
      <c r="D4" s="1" t="inlineStr">
        <is>
          <t>Hektar</t>
        </is>
      </c>
    </row>
    <row r="5">
      <c r="A5" s="3" t="inlineStr">
        <is>
          <t>Gemilang Sejahtera Abadi</t>
        </is>
      </c>
      <c r="B5" s="3" t="inlineStr">
        <is>
          <t>Kutai Timur, Kaltim</t>
        </is>
      </c>
      <c r="C5" s="3" t="n">
        <v>5029</v>
      </c>
      <c r="D5" s="1" t="inlineStr">
        <is>
          <t>Hektar</t>
        </is>
      </c>
    </row>
    <row r="6">
      <c r="A6" s="3" t="inlineStr">
        <is>
          <t>Telen Prima Sawit</t>
        </is>
      </c>
      <c r="B6" s="3" t="inlineStr">
        <is>
          <t>Kutai Timur, Kaltim</t>
        </is>
      </c>
      <c r="C6" s="3" t="n">
        <v>10794</v>
      </c>
      <c r="D6" s="1" t="inlineStr">
        <is>
          <t>Hektar</t>
        </is>
      </c>
    </row>
    <row r="7">
      <c r="A7" s="3" t="inlineStr">
        <is>
          <t>Sawit Prima Nusantara</t>
        </is>
      </c>
      <c r="B7" s="3" t="inlineStr">
        <is>
          <t>Kutai Timur, Kaltim</t>
        </is>
      </c>
      <c r="C7" s="3" t="n">
        <v>3356</v>
      </c>
      <c r="D7" s="1" t="inlineStr">
        <is>
          <t>Hektar</t>
        </is>
      </c>
    </row>
    <row r="8">
      <c r="A8" s="1" t="inlineStr">
        <is>
          <t xml:space="preserve"> Telen</t>
        </is>
      </c>
      <c r="B8" s="3" t="inlineStr">
        <is>
          <t>Kutai Timur, Kaltim</t>
        </is>
      </c>
      <c r="C8" s="3" t="n">
        <v>16348</v>
      </c>
      <c r="D8" s="1" t="inlineStr">
        <is>
          <t>Hektar</t>
        </is>
      </c>
    </row>
    <row r="9">
      <c r="A9" s="3" t="inlineStr">
        <is>
          <t>Inti Energi Kaltim</t>
        </is>
      </c>
      <c r="B9" s="3" t="inlineStr">
        <is>
          <t>Berau, Kaltim</t>
        </is>
      </c>
      <c r="C9" s="3" t="n">
        <v>1528</v>
      </c>
      <c r="D9" s="1" t="inlineStr">
        <is>
          <t>Hektar</t>
        </is>
      </c>
    </row>
    <row r="10">
      <c r="A10" s="3" t="inlineStr">
        <is>
          <t>Tanjung Buyu Perkasa Plantation</t>
        </is>
      </c>
      <c r="B10" s="3" t="inlineStr">
        <is>
          <t>Berau, Kaltim</t>
        </is>
      </c>
      <c r="C10" s="3" t="n">
        <v>11009</v>
      </c>
      <c r="D10" s="1" t="inlineStr">
        <is>
          <t>Hektar</t>
        </is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Digitaloffice05679</dc:creator>
  <dcterms:created xsi:type="dcterms:W3CDTF">2025-11-28T07:59:29Z</dcterms:created>
  <dcterms:modified xsi:type="dcterms:W3CDTF">2026-09-06T14:45:42Z</dcterms:modified>
  <cp:lastModifiedBy>Muhammad Najmi Rahmani</cp:lastModifiedBy>
</cp:coreProperties>
</file>