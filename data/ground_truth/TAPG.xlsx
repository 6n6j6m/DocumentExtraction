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300" windowHeight="18980" tabRatio="600" firstSheet="0" activeTab="0" autoFilterDateGrouping="1"/>
  </bookViews>
  <sheets>
    <sheet name="Sheet1" sheetId="1" state="visible" r:id="rId1"/>
    <sheet name="Sheet2" sheetId="2" state="visible" r:id="rId2"/>
    <sheet name="lokasi kebu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#,##0_ "/>
  </numFmts>
  <fonts count="8">
    <font>
      <name val="Aptos Narrow"/>
      <color theme="1"/>
      <sz val="11"/>
      <scheme val="minor"/>
    </font>
    <font>
      <name val="Arial"/>
      <family val="2"/>
      <color theme="1"/>
      <sz val="11"/>
    </font>
    <font>
      <name val="Tahoma"/>
      <family val="2"/>
      <color theme="1"/>
      <sz val="11"/>
    </font>
    <font>
      <name val="Aptos Narrow"/>
      <color theme="1"/>
      <sz val="11"/>
      <scheme val="minor"/>
    </font>
    <font>
      <name val="Helvetica"/>
      <family val="2"/>
      <color rgb="FF000000"/>
      <sz val="9"/>
    </font>
    <font>
      <name val="Arial"/>
      <family val="2"/>
      <color rgb="FF000000"/>
      <sz val="8"/>
    </font>
    <font>
      <name val="Helvetica Neue"/>
      <family val="2"/>
      <color rgb="FF000000"/>
      <sz val="10"/>
    </font>
    <font>
      <name val="Helvetica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0" fontId="2" fillId="2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43" fontId="2" fillId="0" borderId="0" applyAlignment="1" pivotButton="0" quotePrefix="0" xfId="0">
      <alignment horizontal="center"/>
    </xf>
    <xf numFmtId="41" fontId="0" fillId="0" borderId="0" pivotButton="0" quotePrefix="0" xfId="1"/>
    <xf numFmtId="41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1" fontId="3" fillId="0" borderId="0" pivotButton="0" quotePrefix="0" xfId="1"/>
  </cellXfs>
  <cellStyles count="2">
    <cellStyle name="Normal" xfId="0" builtinId="0"/>
    <cellStyle name="Comma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workbookViewId="0">
      <pane xSplit="1" topLeftCell="B1" activePane="topRight" state="frozen"/>
      <selection pane="topRight" activeCell="B14" sqref="B14"/>
    </sheetView>
  </sheetViews>
  <sheetFormatPr baseColWidth="10" defaultColWidth="12.6640625" defaultRowHeight="15" customHeight="1"/>
  <cols>
    <col width="59.6640625" customWidth="1" min="1" max="1"/>
    <col width="20.5" customWidth="1" min="2" max="2"/>
    <col width="19.5" customWidth="1" min="3" max="3"/>
    <col width="22.5" customWidth="1" min="4" max="4"/>
    <col width="19.5" customWidth="1" min="5" max="7"/>
    <col width="18.33203125" bestFit="1" customWidth="1" min="8" max="8"/>
    <col width="19.5" customWidth="1" min="9" max="9"/>
    <col width="18.33203125" bestFit="1" customWidth="1" min="10" max="15"/>
    <col width="18.6640625" bestFit="1" customWidth="1" min="16" max="17"/>
    <col width="32.83203125" bestFit="1" customWidth="1" min="18" max="18"/>
    <col width="18.6640625" bestFit="1" customWidth="1" min="19" max="19"/>
    <col width="15" bestFit="1" customWidth="1" min="20" max="20"/>
    <col width="8.6640625" customWidth="1" min="21" max="23"/>
    <col width="15" bestFit="1" customWidth="1" min="24" max="24"/>
    <col width="8.6640625" customWidth="1" min="25" max="27"/>
  </cols>
  <sheetData>
    <row r="1" ht="14.25" customHeight="1">
      <c r="A1" s="2" t="inlineStr">
        <is>
          <t>(HANYA YANG BISA DIATRIBUSIKAN KE ENTITAS INDUK SAJA)</t>
        </is>
      </c>
      <c r="D1" s="4" t="inlineStr">
        <is>
          <t>TAPG</t>
        </is>
      </c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2" t="inlineStr">
        <is>
          <t>DINYATAKAN DALAM RUPIAH</t>
        </is>
      </c>
      <c r="D2" s="4" t="n"/>
      <c r="E2" s="2" t="n"/>
      <c r="F2" s="2" t="inlineStr">
        <is>
          <t>kecuali nilai nominal dan data saham</t>
        </is>
      </c>
      <c r="G2" s="2" t="n"/>
      <c r="H2" s="2" t="n"/>
      <c r="I2" s="2" t="n"/>
      <c r="J2" s="2" t="n"/>
      <c r="K2" s="2" t="n"/>
      <c r="L2" s="4" t="n"/>
      <c r="M2" s="5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4.25" customHeight="1">
      <c r="A3" s="2" t="n"/>
      <c r="B3" s="1" t="inlineStr">
        <is>
          <t>Q2 2026</t>
        </is>
      </c>
      <c r="C3" s="1" t="inlineStr">
        <is>
          <t>Q1 2026</t>
        </is>
      </c>
      <c r="D3" s="1" t="inlineStr">
        <is>
          <t>Q4 2025</t>
        </is>
      </c>
      <c r="E3" s="4" t="inlineStr">
        <is>
          <t>Q3 2025</t>
        </is>
      </c>
      <c r="F3" s="4" t="inlineStr">
        <is>
          <t>Q2 2025</t>
        </is>
      </c>
      <c r="G3" s="4" t="inlineStr">
        <is>
          <t>Q1 2025</t>
        </is>
      </c>
      <c r="H3" s="4" t="inlineStr">
        <is>
          <t>TAHUNAN 2024</t>
        </is>
      </c>
      <c r="I3" s="4" t="inlineStr">
        <is>
          <t>Q3 2024</t>
        </is>
      </c>
      <c r="J3" s="2" t="inlineStr">
        <is>
          <t>Q2 2024</t>
        </is>
      </c>
      <c r="K3" s="2" t="inlineStr">
        <is>
          <t>Q1 2024</t>
        </is>
      </c>
      <c r="L3" s="2" t="inlineStr">
        <is>
          <t>TAHUNAN 2023</t>
        </is>
      </c>
      <c r="M3" s="2" t="inlineStr">
        <is>
          <t>Q3 2023</t>
        </is>
      </c>
      <c r="N3" s="2" t="inlineStr">
        <is>
          <t>Q2 2023</t>
        </is>
      </c>
      <c r="O3" s="2" t="inlineStr">
        <is>
          <t>Q1 2023</t>
        </is>
      </c>
      <c r="P3" s="2" t="inlineStr">
        <is>
          <t>TAHUNAN 2022</t>
        </is>
      </c>
      <c r="Q3" s="2" t="inlineStr">
        <is>
          <t>Q3 2022</t>
        </is>
      </c>
      <c r="R3" s="6" t="inlineStr">
        <is>
          <t>Q2 2022</t>
        </is>
      </c>
      <c r="S3" s="6" t="inlineStr">
        <is>
          <t>Q1 2022</t>
        </is>
      </c>
      <c r="T3" s="6" t="inlineStr">
        <is>
          <t>TAHUNAN 2021</t>
        </is>
      </c>
      <c r="U3" s="6" t="inlineStr">
        <is>
          <t>Q3 2021</t>
        </is>
      </c>
      <c r="V3" s="6" t="inlineStr">
        <is>
          <t>Q2 2021</t>
        </is>
      </c>
      <c r="W3" s="6" t="inlineStr">
        <is>
          <t>Q1 2021</t>
        </is>
      </c>
      <c r="X3" s="6" t="inlineStr">
        <is>
          <t>TAHUNAN 2020</t>
        </is>
      </c>
      <c r="Y3" s="6" t="inlineStr">
        <is>
          <t>Q3 2020</t>
        </is>
      </c>
      <c r="Z3" s="6" t="inlineStr">
        <is>
          <t>Q2 2020</t>
        </is>
      </c>
      <c r="AA3" s="6" t="inlineStr">
        <is>
          <t>Q1 2020</t>
        </is>
      </c>
    </row>
    <row r="4" ht="14.25" customHeight="1">
      <c r="A4" s="2" t="inlineStr">
        <is>
          <t>Aset</t>
        </is>
      </c>
      <c r="B4" s="19" t="n">
        <v>14823740000000</v>
      </c>
      <c r="C4" s="19" t="n">
        <v>15403824000000</v>
      </c>
      <c r="D4" s="19" t="n">
        <v>14696563000000</v>
      </c>
      <c r="E4" s="19" t="n">
        <v>14461861000000</v>
      </c>
      <c r="F4" s="19" t="n">
        <v>13777033000000</v>
      </c>
      <c r="G4" s="19" t="n">
        <v>14882888000000</v>
      </c>
      <c r="H4" s="19" t="n">
        <v>14307265000000</v>
      </c>
      <c r="I4" s="19" t="n">
        <v>14084594000000</v>
      </c>
      <c r="J4" s="19" t="n">
        <v>13214932000000</v>
      </c>
      <c r="K4" s="19" t="n">
        <v>13890994000000</v>
      </c>
      <c r="L4" s="19" t="n">
        <v>13867387000000</v>
      </c>
      <c r="M4" s="19" t="n">
        <v>13563379000000</v>
      </c>
      <c r="N4" s="19" t="n">
        <v>13704899000000</v>
      </c>
      <c r="O4" s="19" t="n">
        <v>14701531000000</v>
      </c>
      <c r="P4" s="19" t="n">
        <v>14526124000000</v>
      </c>
      <c r="Q4" s="19" t="n">
        <v>13995303000000</v>
      </c>
      <c r="R4" s="19" t="n">
        <v>13913692000000</v>
      </c>
      <c r="S4" s="19" t="n">
        <v>13340725000000</v>
      </c>
      <c r="T4" s="5" t="n"/>
      <c r="U4" s="7" t="n"/>
      <c r="V4" s="7" t="n"/>
      <c r="W4" s="7" t="n"/>
      <c r="X4" s="7" t="n"/>
      <c r="Y4" s="7" t="n"/>
      <c r="Z4" s="7" t="n"/>
      <c r="AA4" s="7" t="n"/>
    </row>
    <row r="5" ht="14.25" customHeight="1">
      <c r="A5" s="2" t="inlineStr">
        <is>
          <t>total aset lancar</t>
        </is>
      </c>
      <c r="B5" s="19" t="n">
        <v>4125880000000</v>
      </c>
      <c r="C5" s="19" t="n">
        <v>5013496000000</v>
      </c>
      <c r="D5" s="19" t="n">
        <v>3981264000000</v>
      </c>
      <c r="E5" s="19" t="n">
        <v>3870222000000</v>
      </c>
      <c r="F5" s="19" t="n">
        <v>3057683000000</v>
      </c>
      <c r="G5" s="19" t="n">
        <v>4113350000000</v>
      </c>
      <c r="H5" s="19" t="n">
        <v>3246648000000</v>
      </c>
      <c r="I5" s="19" t="n">
        <v>3367319000000</v>
      </c>
      <c r="J5" s="19" t="n">
        <v>1857136000000</v>
      </c>
      <c r="K5" s="19" t="n">
        <v>2506294000000</v>
      </c>
      <c r="L5" s="19" t="n">
        <v>2445565000000</v>
      </c>
      <c r="M5" s="19" t="n">
        <v>2462999000000</v>
      </c>
      <c r="N5" s="19" t="n">
        <v>2794048000000</v>
      </c>
      <c r="O5" s="19" t="n">
        <v>3643787000000</v>
      </c>
      <c r="P5" s="19" t="n">
        <v>3679197000000</v>
      </c>
      <c r="Q5" s="19" t="n">
        <v>3377648000000</v>
      </c>
      <c r="R5" s="19" t="n">
        <v>3574552000000</v>
      </c>
      <c r="S5" s="19" t="n">
        <v>3093747000000</v>
      </c>
      <c r="T5" s="5" t="n"/>
      <c r="U5" s="7" t="n"/>
      <c r="V5" s="7" t="n"/>
      <c r="W5" s="7" t="n"/>
      <c r="X5" s="7" t="n"/>
      <c r="Y5" s="7" t="n"/>
      <c r="Z5" s="7" t="n"/>
      <c r="AA5" s="7" t="n"/>
    </row>
    <row r="6" ht="14.25" customHeight="1">
      <c r="A6" s="2" t="inlineStr">
        <is>
          <t>KAS</t>
        </is>
      </c>
      <c r="B6" s="19" t="n">
        <v>1706296000000</v>
      </c>
      <c r="C6" s="19" t="n">
        <v>2797577000000</v>
      </c>
      <c r="D6" s="19" t="n">
        <v>1651433000000</v>
      </c>
      <c r="E6" s="19" t="n">
        <v>1666445000000</v>
      </c>
      <c r="F6" s="19" t="n">
        <v>936384000000</v>
      </c>
      <c r="G6" s="19" t="n">
        <v>2085851000000</v>
      </c>
      <c r="H6" s="19" t="n">
        <v>1309216000000</v>
      </c>
      <c r="I6" s="19" t="n">
        <v>1884925000000</v>
      </c>
      <c r="J6" s="19" t="n">
        <v>486902000000</v>
      </c>
      <c r="K6" s="19" t="n">
        <v>1084585000000</v>
      </c>
      <c r="L6" s="19" t="n">
        <v>1006796000000</v>
      </c>
      <c r="M6" s="19" t="n">
        <v>782183000000</v>
      </c>
      <c r="N6" s="19" t="n">
        <v>897541000000</v>
      </c>
      <c r="O6" s="19" t="n">
        <v>1619904000000</v>
      </c>
      <c r="P6" s="19" t="n">
        <v>1957773000000</v>
      </c>
      <c r="Q6" s="19" t="n">
        <v>1538707000000</v>
      </c>
      <c r="R6" s="19" t="n">
        <v>1685496000000</v>
      </c>
      <c r="S6" s="19" t="n">
        <v>1575815000000</v>
      </c>
      <c r="T6" s="5" t="n"/>
      <c r="U6" s="7" t="n"/>
      <c r="V6" s="7" t="n"/>
      <c r="W6" s="7" t="n"/>
      <c r="X6" s="7" t="n"/>
      <c r="Y6" s="7" t="n"/>
      <c r="Z6" s="7" t="n"/>
      <c r="AA6" s="7" t="n"/>
    </row>
    <row r="7" ht="14.25" customHeight="1">
      <c r="A7" s="2" t="inlineStr">
        <is>
          <t>liabilitas</t>
        </is>
      </c>
      <c r="B7" s="19" t="n">
        <v>2889990000000</v>
      </c>
      <c r="C7" s="19" t="n">
        <v>2949317000000</v>
      </c>
      <c r="D7" s="19" t="n">
        <v>3009078000000</v>
      </c>
      <c r="E7" s="19" t="n">
        <v>2788743000000</v>
      </c>
      <c r="F7" s="19" t="n">
        <v>2313762000000</v>
      </c>
      <c r="G7" s="19" t="n">
        <v>2771581000000</v>
      </c>
      <c r="H7" s="19" t="n">
        <v>3030836000000</v>
      </c>
      <c r="I7" s="19" t="n">
        <v>2946527000000</v>
      </c>
      <c r="J7" s="19" t="n">
        <v>2753140000000</v>
      </c>
      <c r="K7" s="19" t="n">
        <v>2167903000000</v>
      </c>
      <c r="L7" s="19" t="n">
        <v>2527847000000</v>
      </c>
      <c r="M7" s="19" t="n">
        <v>2765644000000</v>
      </c>
      <c r="N7" s="19" t="n">
        <v>3562613000000</v>
      </c>
      <c r="O7" s="19" t="n">
        <v>3982958000000</v>
      </c>
      <c r="P7" s="19" t="n">
        <v>4113380000000</v>
      </c>
      <c r="Q7" s="19" t="n">
        <v>4274747000000</v>
      </c>
      <c r="R7" s="19" t="n">
        <v>4770238000000</v>
      </c>
      <c r="S7" s="19" t="n">
        <v>4640767000000</v>
      </c>
      <c r="T7" s="5" t="n"/>
      <c r="U7" s="7" t="n"/>
      <c r="V7" s="7" t="n"/>
      <c r="W7" s="7" t="n"/>
      <c r="X7" s="7" t="n"/>
      <c r="Y7" s="7" t="n"/>
      <c r="Z7" s="7" t="n"/>
      <c r="AA7" s="7" t="n"/>
    </row>
    <row r="8" ht="14.25" customHeight="1">
      <c r="A8" s="2" t="inlineStr">
        <is>
          <t>Utang Bank SAJA Jangka Pendek + Panjang jatuh tempo</t>
        </is>
      </c>
      <c r="B8" s="19" t="n">
        <v>353883000000</v>
      </c>
      <c r="C8" s="19" t="n">
        <v>343422000000</v>
      </c>
      <c r="D8" s="19" t="n">
        <v>332961000000</v>
      </c>
      <c r="E8" s="19" t="n">
        <v>341500000000</v>
      </c>
      <c r="F8" s="19" t="n">
        <v>583751000000</v>
      </c>
      <c r="G8" s="19" t="n">
        <v>520002000000</v>
      </c>
      <c r="H8" s="19" t="n">
        <v>770003000000</v>
      </c>
      <c r="I8" s="19" t="n">
        <v>517396000000</v>
      </c>
      <c r="J8" s="19" t="n">
        <v>1231484000000</v>
      </c>
      <c r="K8" s="19" t="n">
        <v>750576000000</v>
      </c>
      <c r="L8" s="19" t="n">
        <v>919668000000</v>
      </c>
      <c r="M8" s="19" t="n">
        <v>1153682000000</v>
      </c>
      <c r="N8" s="19" t="n">
        <v>913256000000</v>
      </c>
      <c r="O8" s="19" t="n">
        <v>760745000000</v>
      </c>
      <c r="P8" s="19" t="n">
        <v>633377000000</v>
      </c>
      <c r="Q8" s="19" t="n">
        <v>611555000000</v>
      </c>
      <c r="R8" s="19" t="n">
        <v>666866000000</v>
      </c>
      <c r="S8" s="19" t="n">
        <v>643864000000</v>
      </c>
      <c r="T8" s="5" t="n"/>
      <c r="U8" s="7" t="n"/>
      <c r="V8" s="7" t="n"/>
      <c r="W8" s="7" t="n"/>
      <c r="X8" s="7" t="n"/>
      <c r="Y8" s="7" t="n"/>
      <c r="Z8" s="7" t="n"/>
      <c r="AA8" s="7" t="n"/>
    </row>
    <row r="9" ht="14.25" customHeight="1">
      <c r="A9" s="2" t="inlineStr">
        <is>
          <t>ekuitas</t>
        </is>
      </c>
      <c r="B9" s="19" t="n">
        <v>11441646000000</v>
      </c>
      <c r="C9" s="19" t="n">
        <v>11948612000000</v>
      </c>
      <c r="D9" s="19" t="n">
        <v>11209079000000</v>
      </c>
      <c r="E9" s="19" t="n">
        <v>11204496000000</v>
      </c>
      <c r="F9" s="19" t="n">
        <v>10993231000000</v>
      </c>
      <c r="G9" s="19" t="n">
        <v>11613163000000</v>
      </c>
      <c r="H9" s="19" t="n">
        <v>10807905000000</v>
      </c>
      <c r="I9" s="19" t="n">
        <v>10704622000000</v>
      </c>
      <c r="J9" s="19" t="n">
        <v>10053722000000</v>
      </c>
      <c r="K9" s="19" t="n">
        <v>11264759000000</v>
      </c>
      <c r="L9" s="19" t="n">
        <v>10893957000000</v>
      </c>
      <c r="M9" s="19" t="n">
        <v>10370216000000</v>
      </c>
      <c r="N9" s="19" t="n">
        <v>9736680000000</v>
      </c>
      <c r="O9" s="19" t="n">
        <v>10315984000000</v>
      </c>
      <c r="P9" s="19" t="n">
        <v>10021277000000</v>
      </c>
      <c r="Q9" s="19" t="n">
        <v>9354236000000</v>
      </c>
      <c r="R9" s="19" t="n">
        <v>8796816000000</v>
      </c>
      <c r="S9" s="19" t="n">
        <v>8386729000000</v>
      </c>
      <c r="T9" s="5" t="n"/>
      <c r="U9" s="7" t="n"/>
      <c r="V9" s="7" t="n"/>
      <c r="W9" s="7" t="n"/>
      <c r="X9" s="7" t="n"/>
      <c r="Y9" s="7" t="n"/>
      <c r="Z9" s="7" t="n"/>
      <c r="AA9" s="7" t="n"/>
    </row>
    <row r="10" ht="14.25" customHeight="1">
      <c r="A10" s="2" t="inlineStr">
        <is>
          <t>laba bersih</t>
        </is>
      </c>
      <c r="B10" s="19" t="n">
        <v>2040370000000</v>
      </c>
      <c r="C10" s="19" t="n">
        <v>739762000000</v>
      </c>
      <c r="D10" s="19" t="n">
        <v>3702266000000</v>
      </c>
      <c r="E10" s="19" t="n">
        <v>2679633000000</v>
      </c>
      <c r="F10" s="19" t="n">
        <v>1694119000000</v>
      </c>
      <c r="G10" s="19" t="n">
        <v>805258000000</v>
      </c>
      <c r="H10" s="19" t="n">
        <v>3120276000000</v>
      </c>
      <c r="I10" s="19" t="n">
        <v>1617246000000</v>
      </c>
      <c r="J10" s="19" t="n">
        <v>966346000000</v>
      </c>
      <c r="K10" s="19" t="n">
        <v>370802000000</v>
      </c>
      <c r="L10" s="19" t="n">
        <v>1608217000000</v>
      </c>
      <c r="M10" s="19" t="n">
        <v>1103336000000</v>
      </c>
      <c r="N10" s="19" t="n">
        <v>469800000000</v>
      </c>
      <c r="O10" s="19" t="n">
        <v>294707000000</v>
      </c>
      <c r="P10" s="19" t="n">
        <v>2981120000000</v>
      </c>
      <c r="Q10" s="19" t="n">
        <v>2337330000000</v>
      </c>
      <c r="R10" s="19" t="n">
        <v>1779910000000</v>
      </c>
      <c r="S10" s="19" t="n">
        <v>873509000000</v>
      </c>
      <c r="T10" s="5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>
      <c r="A11" s="6" t="inlineStr">
        <is>
          <t>pendapatan dari kontrak dengan pelanggan</t>
        </is>
      </c>
      <c r="B11" s="19" t="n">
        <v>5857150000000</v>
      </c>
      <c r="C11" s="19" t="n">
        <v>2492197000000</v>
      </c>
      <c r="D11" s="19" t="n">
        <v>11402198000000</v>
      </c>
      <c r="E11" s="19" t="n">
        <v>8207835000000</v>
      </c>
      <c r="F11" s="19" t="n">
        <v>5508389000000</v>
      </c>
      <c r="G11" s="19" t="n">
        <v>2620060000000</v>
      </c>
      <c r="H11" s="19" t="n">
        <v>9671463000000</v>
      </c>
      <c r="I11" s="19" t="n">
        <v>6242383000000</v>
      </c>
      <c r="J11" s="19" t="n">
        <v>4076793000000</v>
      </c>
      <c r="K11" s="19" t="n">
        <v>1912011000000</v>
      </c>
      <c r="L11" s="19" t="n">
        <v>8325887000000</v>
      </c>
      <c r="M11" s="19" t="n">
        <v>6038704000000</v>
      </c>
      <c r="N11" s="19" t="n">
        <v>3772350000000</v>
      </c>
      <c r="O11" s="19" t="n">
        <v>1925833000000</v>
      </c>
      <c r="P11" s="19" t="n">
        <v>9345641000000</v>
      </c>
      <c r="Q11" s="19" t="n">
        <v>6746488000000</v>
      </c>
      <c r="R11" s="19" t="n">
        <v>4615053000000</v>
      </c>
      <c r="S11" s="19" t="n">
        <v>2190911000000</v>
      </c>
      <c r="T11" s="5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>
      <c r="A12" s="2" t="inlineStr">
        <is>
          <t>kas dari aktivitas operasi</t>
        </is>
      </c>
      <c r="B12" s="19" t="n">
        <v>1619127000000</v>
      </c>
      <c r="C12" s="19" t="n">
        <v>654283000000</v>
      </c>
      <c r="D12" s="19" t="n">
        <v>3431453000000</v>
      </c>
      <c r="E12" s="19" t="n">
        <v>2241586000000</v>
      </c>
      <c r="F12" s="19" t="n">
        <v>1341854000000</v>
      </c>
      <c r="G12" s="19" t="n">
        <v>773621000000</v>
      </c>
      <c r="H12" s="19" t="n">
        <v>3239185000000</v>
      </c>
      <c r="I12" s="19" t="n">
        <v>1997637000000</v>
      </c>
      <c r="J12" s="19" t="n">
        <v>1153402000000</v>
      </c>
      <c r="K12" s="19" t="n">
        <v>310653000000</v>
      </c>
      <c r="L12" s="19" t="n">
        <v>1569363000000</v>
      </c>
      <c r="M12" s="19" t="n">
        <v>711848000000</v>
      </c>
      <c r="N12" s="19" t="n">
        <v>245713000000</v>
      </c>
      <c r="O12" s="19" t="n">
        <v>160211000000</v>
      </c>
      <c r="P12" s="19" t="n">
        <v>3175480000000</v>
      </c>
      <c r="Q12" s="19" t="n">
        <v>2310078000000</v>
      </c>
      <c r="R12" s="19" t="n">
        <v>1441855000000</v>
      </c>
      <c r="S12" s="19" t="n">
        <v>657322000000</v>
      </c>
      <c r="T12" s="5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>
      <c r="A13" s="2" t="inlineStr">
        <is>
          <t>total share</t>
        </is>
      </c>
      <c r="B13" s="19" t="n">
        <v>19852540000</v>
      </c>
      <c r="C13" s="19" t="n">
        <v>19852540000</v>
      </c>
      <c r="D13" s="19" t="n">
        <v>19852540000</v>
      </c>
      <c r="E13" s="19" t="n">
        <v>19852540000</v>
      </c>
      <c r="F13" s="19" t="n">
        <v>19852540000</v>
      </c>
      <c r="G13" s="19" t="n">
        <v>19852540000</v>
      </c>
      <c r="H13" s="19" t="n">
        <v>19852540000</v>
      </c>
      <c r="I13" s="19" t="n">
        <v>19852540000</v>
      </c>
      <c r="J13" s="19" t="n">
        <v>19852540000</v>
      </c>
      <c r="K13" s="19" t="n">
        <v>19852540000</v>
      </c>
      <c r="L13" s="19" t="n">
        <v>19852540000</v>
      </c>
      <c r="M13" s="19" t="n">
        <v>19852540000</v>
      </c>
      <c r="N13" s="19" t="n">
        <v>19852540000</v>
      </c>
      <c r="O13" s="19" t="n">
        <v>19852540000</v>
      </c>
      <c r="P13" s="19" t="n">
        <v>19852540000</v>
      </c>
      <c r="Q13" s="19" t="n">
        <v>19852540000</v>
      </c>
      <c r="R13" s="19" t="n">
        <v>19852540000</v>
      </c>
      <c r="S13" s="19" t="n">
        <v>19852540000</v>
      </c>
      <c r="T13" s="5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>
      <c r="A14" s="2" t="inlineStr">
        <is>
          <t>Harga saham rupiah</t>
        </is>
      </c>
      <c r="B14" s="4" t="n">
        <v>1830</v>
      </c>
      <c r="C14" s="4" t="n">
        <v>1475</v>
      </c>
      <c r="D14" s="4" t="n">
        <v>1870</v>
      </c>
      <c r="E14" s="4" t="n">
        <v>1620</v>
      </c>
      <c r="F14" s="4" t="n">
        <v>1450</v>
      </c>
      <c r="G14" s="4" t="n">
        <v>1015</v>
      </c>
      <c r="H14" s="5" t="n">
        <v>910</v>
      </c>
      <c r="I14" s="5" t="n">
        <v>845</v>
      </c>
      <c r="J14" s="5" t="n">
        <v>690</v>
      </c>
      <c r="K14" s="5" t="n">
        <v>555</v>
      </c>
      <c r="L14" s="5" t="n">
        <v>555</v>
      </c>
      <c r="M14" s="5" t="n">
        <v>540</v>
      </c>
      <c r="N14" s="5" t="n">
        <v>570</v>
      </c>
      <c r="O14" s="5" t="n">
        <v>565</v>
      </c>
      <c r="P14" s="5" t="n">
        <v>600</v>
      </c>
      <c r="Q14" s="5" t="n">
        <v>655</v>
      </c>
      <c r="R14" s="5" t="n">
        <v>695</v>
      </c>
      <c r="S14" s="5" t="n">
        <v>650</v>
      </c>
      <c r="T14" s="5" t="n">
        <v>690</v>
      </c>
      <c r="U14" s="7" t="n">
        <v>670</v>
      </c>
      <c r="V14" s="7" t="n">
        <v>645</v>
      </c>
      <c r="W14" s="4" t="n">
        <v>630</v>
      </c>
      <c r="X14" s="7" t="n">
        <v>750</v>
      </c>
      <c r="Y14" s="7" t="n"/>
      <c r="Z14" s="7" t="n"/>
      <c r="AA14" s="7" t="n"/>
    </row>
    <row r="15" ht="14.25" customHeight="1">
      <c r="A15" s="8" t="inlineStr">
        <is>
          <t>Book Value per share</t>
        </is>
      </c>
      <c r="B15" s="6">
        <f>B9/B13</f>
        <v/>
      </c>
      <c r="C15" s="6">
        <f>C9/C13</f>
        <v/>
      </c>
      <c r="D15" s="6">
        <f>D9/D13</f>
        <v/>
      </c>
      <c r="E15" s="6">
        <f>E9/E13</f>
        <v/>
      </c>
      <c r="F15" s="6">
        <f>F9/F13</f>
        <v/>
      </c>
      <c r="G15" s="6">
        <f>G9/G13</f>
        <v/>
      </c>
      <c r="H15" s="6">
        <f>H9/H13</f>
        <v/>
      </c>
      <c r="I15" s="6">
        <f>I9/I13</f>
        <v/>
      </c>
      <c r="J15" s="6">
        <f>J9/J13</f>
        <v/>
      </c>
      <c r="K15" s="6">
        <f>K9/K13</f>
        <v/>
      </c>
      <c r="L15" s="6">
        <f>L9/L13</f>
        <v/>
      </c>
      <c r="M15" s="6">
        <f>M9/M13</f>
        <v/>
      </c>
      <c r="N15" s="6">
        <f>N9/N13</f>
        <v/>
      </c>
      <c r="O15" s="6">
        <f>O9/O13</f>
        <v/>
      </c>
      <c r="P15" s="6">
        <f>P9/P13</f>
        <v/>
      </c>
      <c r="Q15" s="6">
        <f>Q9/Q13</f>
        <v/>
      </c>
      <c r="R15" s="6">
        <f>R9/R13</f>
        <v/>
      </c>
      <c r="S15" s="6">
        <f>S9/S13</f>
        <v/>
      </c>
      <c r="T15" s="6">
        <f>T9/T13</f>
        <v/>
      </c>
      <c r="U15" s="6">
        <f>U9/U13</f>
        <v/>
      </c>
      <c r="V15" s="6">
        <f>V9/V13</f>
        <v/>
      </c>
      <c r="W15" s="6">
        <f>W9/W13</f>
        <v/>
      </c>
      <c r="X15" s="9">
        <f>X9/X13</f>
        <v/>
      </c>
      <c r="Y15" s="9">
        <f>Y9/Y13</f>
        <v/>
      </c>
      <c r="Z15" s="9">
        <f>Z9/Z13</f>
        <v/>
      </c>
      <c r="AA15" s="9">
        <f>AA9/AA13</f>
        <v/>
      </c>
    </row>
    <row r="16" ht="14.25" customHeight="1">
      <c r="A16" s="8" t="inlineStr">
        <is>
          <t>P1</t>
        </is>
      </c>
      <c r="B16" s="6">
        <f>B5-B7</f>
        <v/>
      </c>
      <c r="C16" s="6">
        <f>C5-C7</f>
        <v/>
      </c>
      <c r="D16" s="6">
        <f>D5-D7</f>
        <v/>
      </c>
      <c r="E16" s="6">
        <f>E5-E7</f>
        <v/>
      </c>
      <c r="F16" s="6">
        <f>F5-F7</f>
        <v/>
      </c>
      <c r="G16" s="6">
        <f>G5-G7</f>
        <v/>
      </c>
      <c r="H16" s="6">
        <f>H5-H7</f>
        <v/>
      </c>
      <c r="I16" s="6">
        <f>I5-I7</f>
        <v/>
      </c>
      <c r="J16" s="6">
        <f>J5-J7</f>
        <v/>
      </c>
      <c r="K16" s="6">
        <f>K5-K7</f>
        <v/>
      </c>
      <c r="L16" s="6">
        <f>L5-L7</f>
        <v/>
      </c>
      <c r="M16" s="6">
        <f>M5-M7</f>
        <v/>
      </c>
      <c r="N16" s="6">
        <f>N5-N7</f>
        <v/>
      </c>
      <c r="O16" s="6">
        <f>O5-O7</f>
        <v/>
      </c>
      <c r="P16" s="6">
        <f>P5-P7</f>
        <v/>
      </c>
      <c r="Q16" s="6">
        <f>Q5-Q7</f>
        <v/>
      </c>
      <c r="R16" s="6">
        <f>R5-R7</f>
        <v/>
      </c>
      <c r="S16" s="6">
        <f>S5-S7</f>
        <v/>
      </c>
      <c r="T16" s="6">
        <f>T5-T7</f>
        <v/>
      </c>
      <c r="U16" s="6">
        <f>U5-U7</f>
        <v/>
      </c>
      <c r="V16" s="6">
        <f>V5-V7</f>
        <v/>
      </c>
      <c r="W16" s="6">
        <f>W5-W7</f>
        <v/>
      </c>
      <c r="X16" s="9">
        <f>X5-X7</f>
        <v/>
      </c>
      <c r="Y16" s="9">
        <f>Y5-Y7</f>
        <v/>
      </c>
      <c r="Z16" s="9">
        <f>Z5-Z7</f>
        <v/>
      </c>
      <c r="AA16" s="9">
        <f>AA5-AA7</f>
        <v/>
      </c>
    </row>
    <row r="17" ht="14.25" customHeight="1">
      <c r="A17" s="8" t="inlineStr">
        <is>
          <t>ROA</t>
        </is>
      </c>
      <c r="B17" s="10">
        <f>B10/B4</f>
        <v/>
      </c>
      <c r="C17" s="10">
        <f>C10/C4</f>
        <v/>
      </c>
      <c r="D17" s="10">
        <f>D10/D4</f>
        <v/>
      </c>
      <c r="E17" s="10">
        <f>E10/E4</f>
        <v/>
      </c>
      <c r="F17" s="10">
        <f>F10/F4</f>
        <v/>
      </c>
      <c r="G17" s="10">
        <f>G10/G4</f>
        <v/>
      </c>
      <c r="H17" s="10">
        <f>H10/H4</f>
        <v/>
      </c>
      <c r="I17" s="10">
        <f>I10/I4</f>
        <v/>
      </c>
      <c r="J17" s="10">
        <f>J10/J4</f>
        <v/>
      </c>
      <c r="K17" s="10">
        <f>K10/K4</f>
        <v/>
      </c>
      <c r="L17" s="10">
        <f>L10/L4</f>
        <v/>
      </c>
      <c r="M17" s="10">
        <f>M10/M4</f>
        <v/>
      </c>
      <c r="N17" s="10">
        <f>N10/N4</f>
        <v/>
      </c>
      <c r="O17" s="10">
        <f>O10/O4</f>
        <v/>
      </c>
      <c r="P17" s="10">
        <f>P10/P4</f>
        <v/>
      </c>
      <c r="Q17" s="10">
        <f>Q10/Q4</f>
        <v/>
      </c>
      <c r="R17" s="10">
        <f>R10/R4</f>
        <v/>
      </c>
      <c r="S17" s="10">
        <f>S10/S4</f>
        <v/>
      </c>
      <c r="T17" s="10">
        <f>T10/T4</f>
        <v/>
      </c>
      <c r="U17" s="10">
        <f>U10/U4</f>
        <v/>
      </c>
      <c r="V17" s="10">
        <f>V10/V4</f>
        <v/>
      </c>
      <c r="W17" s="10">
        <f>W10/W4</f>
        <v/>
      </c>
      <c r="X17" s="10">
        <f>X10/X4</f>
        <v/>
      </c>
      <c r="Y17" s="10">
        <f>Y10/Y4</f>
        <v/>
      </c>
      <c r="Z17" s="10">
        <f>Z10/Z4</f>
        <v/>
      </c>
      <c r="AA17" s="10">
        <f>AA10/AA4</f>
        <v/>
      </c>
    </row>
    <row r="18" ht="14.25" customHeight="1">
      <c r="A18" s="8" t="inlineStr">
        <is>
          <t>ROE</t>
        </is>
      </c>
      <c r="B18" s="10">
        <f>B10/B9</f>
        <v/>
      </c>
      <c r="C18" s="10">
        <f>C10/C9</f>
        <v/>
      </c>
      <c r="D18" s="10">
        <f>D10/D9</f>
        <v/>
      </c>
      <c r="E18" s="10">
        <f>E10/E9</f>
        <v/>
      </c>
      <c r="F18" s="10">
        <f>F10/F9</f>
        <v/>
      </c>
      <c r="G18" s="10">
        <f>G10/G9</f>
        <v/>
      </c>
      <c r="H18" s="10">
        <f>H10/H9</f>
        <v/>
      </c>
      <c r="I18" s="10">
        <f>I10/I9</f>
        <v/>
      </c>
      <c r="J18" s="10">
        <f>J10/J9</f>
        <v/>
      </c>
      <c r="K18" s="10">
        <f>K10/K9</f>
        <v/>
      </c>
      <c r="L18" s="10">
        <f>L10/L9</f>
        <v/>
      </c>
      <c r="M18" s="10">
        <f>M10/M9</f>
        <v/>
      </c>
      <c r="N18" s="10">
        <f>N10/N9</f>
        <v/>
      </c>
      <c r="O18" s="10">
        <f>O10/O9</f>
        <v/>
      </c>
      <c r="P18" s="10">
        <f>P10/P9</f>
        <v/>
      </c>
      <c r="Q18" s="10">
        <f>Q10/Q9</f>
        <v/>
      </c>
      <c r="R18" s="10">
        <f>R10/R9</f>
        <v/>
      </c>
      <c r="S18" s="10">
        <f>S10/S9</f>
        <v/>
      </c>
      <c r="T18" s="10">
        <f>T10/T9</f>
        <v/>
      </c>
      <c r="U18" s="10">
        <f>U10/U9</f>
        <v/>
      </c>
      <c r="V18" s="10">
        <f>V10/V9</f>
        <v/>
      </c>
      <c r="W18" s="10">
        <f>W10/W9</f>
        <v/>
      </c>
      <c r="X18" s="10">
        <f>X10/X9</f>
        <v/>
      </c>
      <c r="Y18" s="10">
        <f>Y10/Y9</f>
        <v/>
      </c>
      <c r="Z18" s="10">
        <f>Z10/Z9</f>
        <v/>
      </c>
      <c r="AA18" s="10">
        <f>AA10/AA9</f>
        <v/>
      </c>
    </row>
    <row r="19" ht="14.25" customHeight="1">
      <c r="A19" s="8" t="inlineStr">
        <is>
          <t>PBV</t>
        </is>
      </c>
      <c r="B19" s="11">
        <f>B14/B15</f>
        <v/>
      </c>
      <c r="C19" s="11">
        <f>C14/C15</f>
        <v/>
      </c>
      <c r="D19" s="11">
        <f>D14/D15</f>
        <v/>
      </c>
      <c r="E19" s="11">
        <f>E14/E15</f>
        <v/>
      </c>
      <c r="F19" s="11">
        <f>F14/F15</f>
        <v/>
      </c>
      <c r="G19" s="11">
        <f>G14/G15</f>
        <v/>
      </c>
      <c r="H19" s="11">
        <f>H14/H15</f>
        <v/>
      </c>
      <c r="I19" s="11">
        <f>I14/I15</f>
        <v/>
      </c>
      <c r="J19" s="11">
        <f>J14/J15</f>
        <v/>
      </c>
      <c r="K19" s="11">
        <f>K14/K15</f>
        <v/>
      </c>
      <c r="L19" s="11">
        <f>L14/L15</f>
        <v/>
      </c>
      <c r="M19" s="11">
        <f>M14/M15</f>
        <v/>
      </c>
      <c r="N19" s="11">
        <f>N14/N15</f>
        <v/>
      </c>
      <c r="O19" s="11">
        <f>O14/O15</f>
        <v/>
      </c>
      <c r="P19" s="11">
        <f>P14/P15</f>
        <v/>
      </c>
      <c r="Q19" s="11">
        <f>Q14/Q15</f>
        <v/>
      </c>
      <c r="R19" s="11">
        <f>R14/R15</f>
        <v/>
      </c>
      <c r="S19" s="11">
        <f>S14/S15</f>
        <v/>
      </c>
      <c r="T19" s="11">
        <f>T14/T15</f>
        <v/>
      </c>
      <c r="U19" s="11">
        <f>U14/U15</f>
        <v/>
      </c>
      <c r="V19" s="11">
        <f>V14/V15</f>
        <v/>
      </c>
      <c r="W19" s="11">
        <f>W14/W15</f>
        <v/>
      </c>
      <c r="X19" s="9">
        <f>X14/X15</f>
        <v/>
      </c>
      <c r="Y19" s="9">
        <f>Y14/Y15</f>
        <v/>
      </c>
      <c r="Z19" s="9">
        <f>Z14/Z15</f>
        <v/>
      </c>
      <c r="AA19" s="9">
        <f>AA14/AA15</f>
        <v/>
      </c>
    </row>
    <row r="20" ht="14.25" customHeight="1">
      <c r="A20" s="8" t="inlineStr">
        <is>
          <t>PE</t>
        </is>
      </c>
      <c r="B20" s="11">
        <f>B14/B21</f>
        <v/>
      </c>
      <c r="C20" s="11">
        <f>C14/C21</f>
        <v/>
      </c>
      <c r="D20" s="11">
        <f>D14/D21</f>
        <v/>
      </c>
      <c r="E20" s="11">
        <f>E14/E21</f>
        <v/>
      </c>
      <c r="F20" s="11">
        <f>F14/F21</f>
        <v/>
      </c>
      <c r="G20" s="11">
        <f>G14/G21</f>
        <v/>
      </c>
      <c r="H20" s="11">
        <f>H14/H21</f>
        <v/>
      </c>
      <c r="I20" s="11">
        <f>I14/I21</f>
        <v/>
      </c>
      <c r="J20" s="11">
        <f>J14/J21</f>
        <v/>
      </c>
      <c r="K20" s="11">
        <f>K14/K21</f>
        <v/>
      </c>
      <c r="L20" s="11">
        <f>L14/L21</f>
        <v/>
      </c>
      <c r="M20" s="11">
        <f>M14/M21</f>
        <v/>
      </c>
      <c r="N20" s="11">
        <f>N14/N21</f>
        <v/>
      </c>
      <c r="O20" s="11">
        <f>O14/O21</f>
        <v/>
      </c>
      <c r="P20" s="11">
        <f>P14/P21</f>
        <v/>
      </c>
      <c r="Q20" s="11">
        <f>Q14/Q21</f>
        <v/>
      </c>
      <c r="R20" s="11">
        <f>R14/R21</f>
        <v/>
      </c>
      <c r="S20" s="11">
        <f>S14/S21</f>
        <v/>
      </c>
      <c r="T20" s="11">
        <f>T14/T21</f>
        <v/>
      </c>
      <c r="U20" s="11">
        <f>U14/U21</f>
        <v/>
      </c>
      <c r="V20" s="11">
        <f>V14/V21</f>
        <v/>
      </c>
      <c r="W20" s="11">
        <f>W14/W21</f>
        <v/>
      </c>
      <c r="X20" s="9">
        <f>X14/X21</f>
        <v/>
      </c>
      <c r="Y20" s="9">
        <f>Y14/Y21</f>
        <v/>
      </c>
      <c r="Z20" s="9">
        <f>Z14/Z21</f>
        <v/>
      </c>
      <c r="AA20" s="9">
        <f>AA14/AA21</f>
        <v/>
      </c>
    </row>
    <row r="21" ht="14.25" customHeight="1">
      <c r="A21" s="8" t="inlineStr">
        <is>
          <t>EPS</t>
        </is>
      </c>
      <c r="B21" s="6">
        <f>B10/B13</f>
        <v/>
      </c>
      <c r="C21" s="6">
        <f>C10/C13</f>
        <v/>
      </c>
      <c r="D21" s="6">
        <f>D10/D13</f>
        <v/>
      </c>
      <c r="E21" s="6">
        <f>E10/E13</f>
        <v/>
      </c>
      <c r="F21" s="6">
        <f>F10/F13</f>
        <v/>
      </c>
      <c r="G21" s="6">
        <f>G10/G13</f>
        <v/>
      </c>
      <c r="H21" s="6">
        <f>H10/H13</f>
        <v/>
      </c>
      <c r="I21" s="6">
        <f>I10/I13</f>
        <v/>
      </c>
      <c r="J21" s="6">
        <f>J10/J13</f>
        <v/>
      </c>
      <c r="K21" s="6">
        <f>K10/K13</f>
        <v/>
      </c>
      <c r="L21" s="6">
        <f>L10/L13</f>
        <v/>
      </c>
      <c r="M21" s="6">
        <f>M10/M13</f>
        <v/>
      </c>
      <c r="N21" s="6">
        <f>N10/N13</f>
        <v/>
      </c>
      <c r="O21" s="6">
        <f>O10/O13</f>
        <v/>
      </c>
      <c r="P21" s="6">
        <f>P10/P13</f>
        <v/>
      </c>
      <c r="Q21" s="6">
        <f>Q10/Q13</f>
        <v/>
      </c>
      <c r="R21" s="6">
        <f>R10/R13</f>
        <v/>
      </c>
      <c r="S21" s="6">
        <f>S10/S13</f>
        <v/>
      </c>
      <c r="T21" s="6">
        <f>T10/T13</f>
        <v/>
      </c>
      <c r="U21" s="6">
        <f>U10/U13</f>
        <v/>
      </c>
      <c r="V21" s="6">
        <f>V10/V13</f>
        <v/>
      </c>
      <c r="W21" s="6">
        <f>W10/W13</f>
        <v/>
      </c>
      <c r="X21" s="9">
        <f>X10/X13</f>
        <v/>
      </c>
      <c r="Y21" s="9">
        <f>Y10/Y13</f>
        <v/>
      </c>
      <c r="Z21" s="9">
        <f>Z10/Z13</f>
        <v/>
      </c>
      <c r="AA21" s="9">
        <f>AA10/AA13</f>
        <v/>
      </c>
    </row>
    <row r="22" ht="14.25" customHeight="1">
      <c r="A22" s="8" t="inlineStr">
        <is>
          <t>DER</t>
        </is>
      </c>
      <c r="B22" s="10">
        <f>B7/B9</f>
        <v/>
      </c>
      <c r="C22" s="10">
        <f>C7/C9</f>
        <v/>
      </c>
      <c r="D22" s="10">
        <f>D7/D9</f>
        <v/>
      </c>
      <c r="E22" s="10">
        <f>E7/E9</f>
        <v/>
      </c>
      <c r="F22" s="10">
        <f>F7/F9</f>
        <v/>
      </c>
      <c r="G22" s="10">
        <f>G7/G9</f>
        <v/>
      </c>
      <c r="H22" s="10">
        <f>H7/H9</f>
        <v/>
      </c>
      <c r="I22" s="10">
        <f>I7/I9</f>
        <v/>
      </c>
      <c r="J22" s="10">
        <f>J7/J9</f>
        <v/>
      </c>
      <c r="K22" s="10">
        <f>K7/K9</f>
        <v/>
      </c>
      <c r="L22" s="10">
        <f>L7/L9</f>
        <v/>
      </c>
      <c r="M22" s="10">
        <f>M7/M9</f>
        <v/>
      </c>
      <c r="N22" s="10">
        <f>N7/N9</f>
        <v/>
      </c>
      <c r="O22" s="10">
        <f>O7/O9</f>
        <v/>
      </c>
      <c r="P22" s="10">
        <f>P7/P9</f>
        <v/>
      </c>
      <c r="Q22" s="10">
        <f>Q7/Q9</f>
        <v/>
      </c>
      <c r="R22" s="10">
        <f>R7/R9</f>
        <v/>
      </c>
      <c r="S22" s="10">
        <f>S7/S9</f>
        <v/>
      </c>
      <c r="T22" s="10">
        <f>T7/T9</f>
        <v/>
      </c>
      <c r="U22" s="10">
        <f>U7/U9</f>
        <v/>
      </c>
      <c r="V22" s="10">
        <f>V7/V9</f>
        <v/>
      </c>
      <c r="W22" s="10">
        <f>W7/W9</f>
        <v/>
      </c>
      <c r="X22" s="10">
        <f>X7/X9</f>
        <v/>
      </c>
      <c r="Y22" s="10">
        <f>Y7/Y9</f>
        <v/>
      </c>
      <c r="Z22" s="10">
        <f>Z7/Z9</f>
        <v/>
      </c>
      <c r="AA22" s="10">
        <f>AA7/AA9</f>
        <v/>
      </c>
    </row>
    <row r="23" ht="14.25" customHeight="1"/>
    <row r="24" ht="14.25" customHeight="1"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</row>
    <row r="25" ht="14.25" customHeight="1"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 ht="14.25" customHeight="1"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8" t="n"/>
    </row>
    <row r="27" ht="14.25" customHeight="1"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 ht="14.25" customHeight="1"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 ht="14.25" customHeight="1"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 ht="14.25" customHeight="1"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 ht="14.25" customHeight="1"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 ht="14.25" customHeight="1"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 ht="14.25" customHeight="1"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 ht="14.25" customHeight="1"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 ht="14.25" customHeight="1"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 ht="14.25" customHeight="1"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 ht="14.25" customHeight="1"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 ht="14.25" customHeight="1"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 ht="14.25" customHeight="1"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 ht="14.25" customHeight="1"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 ht="14.25" customHeight="1"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</row>
    <row r="42" ht="14.25" customHeight="1"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 ht="14.25" customHeight="1"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 ht="14.25" customHeight="1"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 ht="14.25" customHeight="1"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 ht="14.25" customHeight="1"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 ht="14.25" customHeight="1"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 ht="14.25" customHeight="1"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 ht="14.25" customHeight="1"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 ht="14.25" customHeight="1"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 ht="14.25" customHeight="1"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 ht="14.25" customHeight="1"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 ht="14.25" customHeight="1"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 ht="14.25" customHeight="1"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2" sqref="H2"/>
    </sheetView>
  </sheetViews>
  <sheetFormatPr baseColWidth="10" defaultRowHeight="15"/>
  <cols>
    <col width="11.83203125" bestFit="1" customWidth="1" min="3" max="3"/>
    <col width="19.33203125" bestFit="1" customWidth="1" min="4" max="4"/>
    <col width="17.33203125" bestFit="1" customWidth="1" min="6" max="8"/>
  </cols>
  <sheetData>
    <row r="1">
      <c r="A1" t="inlineStr">
        <is>
          <t>Kurs</t>
        </is>
      </c>
      <c r="B1" t="inlineStr">
        <is>
          <t>USD to IDR</t>
        </is>
      </c>
      <c r="C1" t="inlineStr">
        <is>
          <t>Value</t>
        </is>
      </c>
      <c r="D1" t="inlineStr">
        <is>
          <t>Converted</t>
        </is>
      </c>
    </row>
    <row r="2">
      <c r="A2" s="14" t="n">
        <v>0.0673</v>
      </c>
      <c r="B2">
        <f>1000/A2</f>
        <v/>
      </c>
      <c r="C2" s="15" t="n">
        <v>247029168</v>
      </c>
      <c r="D2" s="12">
        <f>B2*C2</f>
        <v/>
      </c>
      <c r="F2" s="16" t="n">
        <v>3868963000000</v>
      </c>
      <c r="G2" s="16" t="n">
        <v>555246000000</v>
      </c>
      <c r="H2" s="13">
        <f>F2+G2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10" defaultColWidth="12.6640625" defaultRowHeight="15" customHeight="1"/>
  <cols>
    <col width="27.83203125" customWidth="1" min="1" max="1"/>
    <col width="25.1640625" customWidth="1" min="2" max="2"/>
    <col width="24.5" customWidth="1" min="3" max="3"/>
  </cols>
  <sheetData>
    <row r="1">
      <c r="A1" s="1" t="inlineStr">
        <is>
          <t>Perusahaan</t>
        </is>
      </c>
      <c r="B1" s="1" t="inlineStr">
        <is>
          <t xml:space="preserve">Lokasi </t>
        </is>
      </c>
      <c r="C1" s="1" t="inlineStr">
        <is>
          <t>Luasan</t>
        </is>
      </c>
      <c r="D1" s="1" t="inlineStr">
        <is>
          <t>Luasan</t>
        </is>
      </c>
    </row>
    <row r="2">
      <c r="A2" s="3" t="inlineStr">
        <is>
          <t>PT Cipta Davia Mandiri</t>
        </is>
      </c>
      <c r="B2" s="1" t="inlineStr">
        <is>
          <t xml:space="preserve">Kutai Timur, Kaltim </t>
        </is>
      </c>
      <c r="C2" s="1" t="n">
        <v>3734</v>
      </c>
      <c r="D2" s="1" t="inlineStr">
        <is>
          <t>Hektar</t>
        </is>
      </c>
    </row>
    <row r="3">
      <c r="A3" s="1" t="inlineStr">
        <is>
          <t>PT Cahaya Anugrah Plantation</t>
        </is>
      </c>
      <c r="B3" s="1" t="inlineStr">
        <is>
          <t>Kutai Kartanegara, Kaltim</t>
        </is>
      </c>
      <c r="C3" s="1" t="n">
        <v>6365</v>
      </c>
      <c r="D3" s="1" t="inlineStr">
        <is>
          <t>Hektar</t>
        </is>
      </c>
    </row>
    <row r="4">
      <c r="A4" s="3" t="inlineStr">
        <is>
          <t>Multi Jayantara Abadi</t>
        </is>
      </c>
      <c r="B4" s="3" t="inlineStr">
        <is>
          <t>Paser, Kaltim</t>
        </is>
      </c>
      <c r="C4" s="3" t="n">
        <v>6267</v>
      </c>
      <c r="D4" s="1" t="inlineStr">
        <is>
          <t>Hektar</t>
        </is>
      </c>
    </row>
    <row r="5">
      <c r="A5" s="3" t="inlineStr">
        <is>
          <t>Gemilang Sejahtera Abadi</t>
        </is>
      </c>
      <c r="B5" s="3" t="inlineStr">
        <is>
          <t>Kutai Timur, Kaltim</t>
        </is>
      </c>
      <c r="C5" s="3" t="n">
        <v>5029</v>
      </c>
      <c r="D5" s="1" t="inlineStr">
        <is>
          <t>Hektar</t>
        </is>
      </c>
    </row>
    <row r="6">
      <c r="A6" s="3" t="inlineStr">
        <is>
          <t>Telen Prima Sawit</t>
        </is>
      </c>
      <c r="B6" s="3" t="inlineStr">
        <is>
          <t>Kutai Timur, Kaltim</t>
        </is>
      </c>
      <c r="C6" s="3" t="n">
        <v>10794</v>
      </c>
      <c r="D6" s="1" t="inlineStr">
        <is>
          <t>Hektar</t>
        </is>
      </c>
    </row>
    <row r="7">
      <c r="A7" s="3" t="inlineStr">
        <is>
          <t>Sawit Prima Nusantara</t>
        </is>
      </c>
      <c r="B7" s="3" t="inlineStr">
        <is>
          <t>Kutai Timur, Kaltim</t>
        </is>
      </c>
      <c r="C7" s="3" t="n">
        <v>3356</v>
      </c>
      <c r="D7" s="1" t="inlineStr">
        <is>
          <t>Hektar</t>
        </is>
      </c>
    </row>
    <row r="8">
      <c r="A8" s="1" t="inlineStr">
        <is>
          <t xml:space="preserve"> Telen</t>
        </is>
      </c>
      <c r="B8" s="3" t="inlineStr">
        <is>
          <t>Kutai Timur, Kaltim</t>
        </is>
      </c>
      <c r="C8" s="3" t="n">
        <v>16348</v>
      </c>
      <c r="D8" s="1" t="inlineStr">
        <is>
          <t>Hektar</t>
        </is>
      </c>
    </row>
    <row r="9">
      <c r="A9" s="3" t="inlineStr">
        <is>
          <t>Inti Energi Kaltim</t>
        </is>
      </c>
      <c r="B9" s="3" t="inlineStr">
        <is>
          <t>Berau, Kaltim</t>
        </is>
      </c>
      <c r="C9" s="3" t="n">
        <v>1528</v>
      </c>
      <c r="D9" s="1" t="inlineStr">
        <is>
          <t>Hektar</t>
        </is>
      </c>
    </row>
    <row r="10">
      <c r="A10" s="3" t="inlineStr">
        <is>
          <t>Tanjung Buyu Perkasa Plantation</t>
        </is>
      </c>
      <c r="B10" s="3" t="inlineStr">
        <is>
          <t>Berau, Kaltim</t>
        </is>
      </c>
      <c r="C10" s="3" t="n">
        <v>11009</v>
      </c>
      <c r="D10" s="1" t="inlineStr">
        <is>
          <t>Hektar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Digitaloffice05679</dc:creator>
  <dcterms:created xsi:type="dcterms:W3CDTF">2025-11-28T07:59:29Z</dcterms:created>
  <dcterms:modified xsi:type="dcterms:W3CDTF">2026-09-15T11:09:20Z</dcterms:modified>
  <cp:lastModifiedBy>Muhammad Najmi Rahmani</cp:lastModifiedBy>
</cp:coreProperties>
</file>