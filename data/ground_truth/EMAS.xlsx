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uhammadnajmirahmani/Belajar/ProjectDatasaur/data/ground_truth/"/>
    </mc:Choice>
  </mc:AlternateContent>
  <xr:revisionPtr revIDLastSave="0" documentId="13_ncr:1_{A1498F2D-1C55-4E47-A694-E97EB09425C3}" xr6:coauthVersionLast="47" xr6:coauthVersionMax="47" xr10:uidLastSave="{00000000-0000-0000-0000-000000000000}"/>
  <bookViews>
    <workbookView xWindow="0" yWindow="660" windowWidth="29300" windowHeight="18980" xr2:uid="{00000000-000D-0000-FFFF-FFFF00000000}"/>
  </bookViews>
  <sheets>
    <sheet name="Sheet1" sheetId="1" r:id="rId1"/>
    <sheet name="Sheet2" sheetId="3" r:id="rId2"/>
    <sheet name="lokasi kebun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c1H/Q4ZdR4yLnEJr0IZqFh3FObkfqorOjDyrNKq9VL8="/>
    </ext>
  </extLst>
</workbook>
</file>

<file path=xl/calcChain.xml><?xml version="1.0" encoding="utf-8"?>
<calcChain xmlns="http://schemas.openxmlformats.org/spreadsheetml/2006/main">
  <c r="S18" i="1" l="1"/>
  <c r="Q18" i="1"/>
  <c r="H2" i="3"/>
  <c r="R18" i="1"/>
  <c r="R22" i="1"/>
  <c r="S15" i="1"/>
  <c r="S19" i="1" s="1"/>
  <c r="S17" i="1"/>
  <c r="S16" i="1"/>
  <c r="B2" i="3"/>
  <c r="D2" i="3" s="1"/>
  <c r="AA22" i="1"/>
  <c r="Z22" i="1"/>
  <c r="Y22" i="1"/>
  <c r="X22" i="1"/>
  <c r="W22" i="1"/>
  <c r="V22" i="1"/>
  <c r="U22" i="1"/>
  <c r="T22" i="1"/>
  <c r="S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A21" i="1"/>
  <c r="Z21" i="1"/>
  <c r="Y21" i="1"/>
  <c r="X21" i="1"/>
  <c r="X20" i="1" s="1"/>
  <c r="W21" i="1"/>
  <c r="W20" i="1" s="1"/>
  <c r="V21" i="1"/>
  <c r="V20" i="1" s="1"/>
  <c r="U21" i="1"/>
  <c r="U20" i="1" s="1"/>
  <c r="T21" i="1"/>
  <c r="Q21" i="1"/>
  <c r="Q20" i="1" s="1"/>
  <c r="P21" i="1"/>
  <c r="P20" i="1" s="1"/>
  <c r="O21" i="1"/>
  <c r="O20" i="1" s="1"/>
  <c r="N21" i="1"/>
  <c r="N20" i="1" s="1"/>
  <c r="M21" i="1"/>
  <c r="M20" i="1" s="1"/>
  <c r="L21" i="1"/>
  <c r="L20" i="1" s="1"/>
  <c r="K21" i="1"/>
  <c r="K20" i="1" s="1"/>
  <c r="J21" i="1"/>
  <c r="J20" i="1" s="1"/>
  <c r="I21" i="1"/>
  <c r="I20" i="1" s="1"/>
  <c r="H21" i="1"/>
  <c r="H20" i="1" s="1"/>
  <c r="G21" i="1"/>
  <c r="G20" i="1" s="1"/>
  <c r="F21" i="1"/>
  <c r="F20" i="1" s="1"/>
  <c r="E21" i="1"/>
  <c r="E20" i="1" s="1"/>
  <c r="D21" i="1"/>
  <c r="D20" i="1" s="1"/>
  <c r="C21" i="1"/>
  <c r="C20" i="1" s="1"/>
  <c r="B21" i="1"/>
  <c r="B20" i="1" s="1"/>
  <c r="AA20" i="1"/>
  <c r="Z20" i="1"/>
  <c r="Y20" i="1"/>
  <c r="T20" i="1"/>
  <c r="Y19" i="1"/>
  <c r="AA18" i="1"/>
  <c r="Z18" i="1"/>
  <c r="Y18" i="1"/>
  <c r="X18" i="1"/>
  <c r="W18" i="1"/>
  <c r="V18" i="1"/>
  <c r="U18" i="1"/>
  <c r="T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A17" i="1"/>
  <c r="Z17" i="1"/>
  <c r="Y17" i="1"/>
  <c r="X17" i="1"/>
  <c r="W17" i="1"/>
  <c r="V17" i="1"/>
  <c r="U17" i="1"/>
  <c r="T17" i="1"/>
  <c r="R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A16" i="1"/>
  <c r="Z16" i="1"/>
  <c r="Y16" i="1"/>
  <c r="X16" i="1"/>
  <c r="W16" i="1"/>
  <c r="V16" i="1"/>
  <c r="U16" i="1"/>
  <c r="T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A15" i="1"/>
  <c r="AA19" i="1" s="1"/>
  <c r="Z15" i="1"/>
  <c r="Z19" i="1" s="1"/>
  <c r="Y15" i="1"/>
  <c r="X15" i="1"/>
  <c r="X19" i="1" s="1"/>
  <c r="W15" i="1"/>
  <c r="W19" i="1" s="1"/>
  <c r="V15" i="1"/>
  <c r="V19" i="1" s="1"/>
  <c r="U15" i="1"/>
  <c r="U19" i="1" s="1"/>
  <c r="T15" i="1"/>
  <c r="T19" i="1" s="1"/>
  <c r="R15" i="1"/>
  <c r="R19" i="1" s="1"/>
  <c r="Q15" i="1"/>
  <c r="Q19" i="1" s="1"/>
  <c r="P15" i="1"/>
  <c r="P19" i="1" s="1"/>
  <c r="O15" i="1"/>
  <c r="O19" i="1" s="1"/>
  <c r="N15" i="1"/>
  <c r="N19" i="1" s="1"/>
  <c r="M15" i="1"/>
  <c r="M19" i="1" s="1"/>
  <c r="L15" i="1"/>
  <c r="L19" i="1" s="1"/>
  <c r="K15" i="1"/>
  <c r="K19" i="1" s="1"/>
  <c r="J15" i="1"/>
  <c r="J19" i="1" s="1"/>
  <c r="I15" i="1"/>
  <c r="I19" i="1" s="1"/>
  <c r="H15" i="1"/>
  <c r="H19" i="1" s="1"/>
  <c r="G15" i="1"/>
  <c r="G19" i="1" s="1"/>
  <c r="F15" i="1"/>
  <c r="F19" i="1" s="1"/>
  <c r="E15" i="1"/>
  <c r="E19" i="1" s="1"/>
  <c r="D15" i="1"/>
  <c r="D19" i="1" s="1"/>
  <c r="C15" i="1"/>
  <c r="C19" i="1" s="1"/>
  <c r="B15" i="1"/>
  <c r="B19" i="1" s="1"/>
  <c r="Q17" i="1" l="1"/>
  <c r="R21" i="1"/>
  <c r="R20" i="1" s="1"/>
  <c r="R16" i="1"/>
  <c r="S21" i="1"/>
  <c r="S20" i="1" s="1"/>
</calcChain>
</file>

<file path=xl/sharedStrings.xml><?xml version="1.0" encoding="utf-8"?>
<sst xmlns="http://schemas.openxmlformats.org/spreadsheetml/2006/main" count="90" uniqueCount="74">
  <si>
    <t>Perusahaan</t>
  </si>
  <si>
    <t>(HANYA YANG BISA DIATRIBUSIKAN KE ENTITAS INDUK SAJA)</t>
  </si>
  <si>
    <t xml:space="preserve">Lokasi </t>
  </si>
  <si>
    <t>Luasan</t>
  </si>
  <si>
    <t>PT Cipta Davia Mandiri</t>
  </si>
  <si>
    <t xml:space="preserve">Kutai Timur, Kaltim </t>
  </si>
  <si>
    <t>Hektar</t>
  </si>
  <si>
    <t>PT Cahaya Anugrah Plantation</t>
  </si>
  <si>
    <t>Kutai Kartanegara, Kaltim</t>
  </si>
  <si>
    <t>Multi Jayantara Abadi</t>
  </si>
  <si>
    <t>Paser, Kaltim</t>
  </si>
  <si>
    <t>Gemilang Sejahtera Abadi</t>
  </si>
  <si>
    <t>Kutai Timur, Kaltim</t>
  </si>
  <si>
    <t>Telen Prima Sawit</t>
  </si>
  <si>
    <t>Sawit Prima Nusantara</t>
  </si>
  <si>
    <t xml:space="preserve"> Telen</t>
  </si>
  <si>
    <t>Inti Energi Kaltim</t>
  </si>
  <si>
    <t>Berau, Kaltim</t>
  </si>
  <si>
    <t>Tanjung Buyu Perkasa Plantation</t>
  </si>
  <si>
    <t>DINYATAKAN DALAM RUPIAH</t>
  </si>
  <si>
    <t>kecuali nilai nominal dan data saham</t>
  </si>
  <si>
    <t>Q2 2026</t>
  </si>
  <si>
    <t>Q1 2026</t>
  </si>
  <si>
    <t>Q4 2025</t>
  </si>
  <si>
    <t>Q3 2025</t>
  </si>
  <si>
    <t>Q2 2025</t>
  </si>
  <si>
    <t>Q1 2025</t>
  </si>
  <si>
    <t>TAHUNAN 2024</t>
  </si>
  <si>
    <t>Q3 2024</t>
  </si>
  <si>
    <t>Q2 2024</t>
  </si>
  <si>
    <t>Q1 2024</t>
  </si>
  <si>
    <t>TAHUNAN 2023</t>
  </si>
  <si>
    <t>Q3 2023</t>
  </si>
  <si>
    <t>Q2 2023</t>
  </si>
  <si>
    <t>Q1 2023</t>
  </si>
  <si>
    <t>TAHUNAN 2022</t>
  </si>
  <si>
    <t>Q3 2022</t>
  </si>
  <si>
    <t>Q2 2022</t>
  </si>
  <si>
    <t>Q1 2022</t>
  </si>
  <si>
    <t>TAHUNAN 2021</t>
  </si>
  <si>
    <t>Q3 2021</t>
  </si>
  <si>
    <t>Q2 2021</t>
  </si>
  <si>
    <t>Q1 2021</t>
  </si>
  <si>
    <t>TAHUNAN 2020</t>
  </si>
  <si>
    <t>Q3 2020</t>
  </si>
  <si>
    <t>Q2 2020</t>
  </si>
  <si>
    <t>Q1 2020</t>
  </si>
  <si>
    <t>Aset</t>
  </si>
  <si>
    <t>total aset lancar</t>
  </si>
  <si>
    <t>KAS</t>
  </si>
  <si>
    <t>liabilitas</t>
  </si>
  <si>
    <t>Utang Bank SAJA Jangka Pendek + Panjang jatuh tempo</t>
  </si>
  <si>
    <t>ekuitas</t>
  </si>
  <si>
    <t>laba bersih</t>
  </si>
  <si>
    <t>pendapatan dari kontrak dengan pelanggan</t>
  </si>
  <si>
    <t>kas dari aktivitas operasi</t>
  </si>
  <si>
    <t>total share</t>
  </si>
  <si>
    <t>Harga saham rupiah</t>
  </si>
  <si>
    <t>Book Value per share</t>
  </si>
  <si>
    <t>P1</t>
  </si>
  <si>
    <t>ROA</t>
  </si>
  <si>
    <t>ROE</t>
  </si>
  <si>
    <t>PBV</t>
  </si>
  <si>
    <t>PE</t>
  </si>
  <si>
    <t>EPS</t>
  </si>
  <si>
    <t>DER</t>
  </si>
  <si>
    <t>Kurs</t>
  </si>
  <si>
    <t>USD to IDR</t>
  </si>
  <si>
    <t>Value</t>
  </si>
  <si>
    <t>Converted</t>
  </si>
  <si>
    <t>16398000000.0</t>
  </si>
  <si>
    <t>EMAS</t>
  </si>
  <si>
    <t>16181071294.0</t>
  </si>
  <si>
    <t>14731366060.0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</si>
</sst>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_ "/>
  </numFmts>
  <fonts count="7" x14ac:knownFonts="1"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Tahoma"/>
      <family val="2"/>
    </font>
    <font>
      <sz val="11"/>
      <color theme="1"/>
      <name val="Aptos Narrow"/>
      <scheme val="minor"/>
    </font>
    <font>
      <sz val="9"/>
      <color rgb="FF000000"/>
      <name val="Helvetica"/>
      <family val="2"/>
    </font>
    <font>
      <sz val="8"/>
      <color rgb="FF000000"/>
      <name val="Arial"/>
      <family val="2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164" fontId="2" fillId="0" borderId="0" xfId="0" applyNumberFormat="1" applyFont="1"/>
    <xf numFmtId="164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2" borderId="0" xfId="0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43" fontId="2" fillId="0" borderId="0" xfId="0" applyNumberFormat="1" applyFont="1" applyAlignment="1">
      <alignment horizontal="center"/>
    </xf>
    <xf numFmtId="41" fontId="0" fillId="0" borderId="0" xfId="1" applyFont="1"/>
    <xf numFmtId="41" fontId="0" fillId="0" borderId="0" xfId="0" applyNumberFormat="1"/>
    <xf numFmtId="0" fontId="4" fillId="0" borderId="0" xfId="0" applyFont="1"/>
    <xf numFmtId="3" fontId="4" fillId="0" borderId="0" xfId="0" applyNumberFormat="1" applyFont="1"/>
    <xf numFmtId="3" fontId="5" fillId="0" borderId="0" xfId="0" applyNumberFormat="1" applyFont="1"/>
    <xf numFmtId="0" fontId="6" fillId="0" borderId="0" xfId="0" applyFont="1"/>
    <xf numFmtId="41" fontId="6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pane xSplit="1" topLeftCell="B1" activePane="topRight" state="frozen"/>
      <selection pane="topRight" activeCell="B12" sqref="B12"/>
    </sheetView>
  </sheetViews>
  <sheetFormatPr baseColWidth="10" defaultColWidth="12.6640625" defaultRowHeight="15" customHeight="1" x14ac:dyDescent="0.2"/>
  <cols>
    <col min="1" max="1" width="59.6640625" customWidth="1"/>
    <col min="2" max="2" width="20.5" customWidth="1"/>
    <col min="3" max="3" width="19.5" customWidth="1"/>
    <col min="4" max="4" width="22.5" customWidth="1"/>
    <col min="5" max="7" width="19.5" customWidth="1"/>
    <col min="8" max="8" width="18.33203125" bestFit="1" customWidth="1"/>
    <col min="9" max="9" width="19.5" customWidth="1"/>
    <col min="10" max="15" width="18.33203125" bestFit="1" customWidth="1"/>
    <col min="16" max="17" width="18.6640625" bestFit="1" customWidth="1"/>
    <col min="18" max="18" width="32.83203125" bestFit="1" customWidth="1"/>
    <col min="19" max="19" width="18.6640625" bestFit="1" customWidth="1"/>
    <col min="20" max="20" width="15" bestFit="1" customWidth="1"/>
    <col min="21" max="23" width="8.6640625" customWidth="1"/>
    <col min="24" max="24" width="15" bestFit="1" customWidth="1"/>
    <col min="25" max="27" width="8.6640625" customWidth="1"/>
  </cols>
  <sheetData>
    <row r="1" spans="1:27" ht="14.25" customHeight="1" x14ac:dyDescent="0.2">
      <c r="A1" s="2" t="s">
        <v>1</v>
      </c>
      <c r="D1" s="4" t="s">
        <v>71</v>
      </c>
      <c r="E1" s="2"/>
      <c r="F1" s="2"/>
      <c r="G1" s="2"/>
      <c r="H1" s="2"/>
      <c r="I1" s="2"/>
      <c r="J1" s="2"/>
      <c r="K1" s="2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7" ht="14.25" customHeight="1" x14ac:dyDescent="0.2">
      <c r="A2" s="2" t="s">
        <v>19</v>
      </c>
      <c r="D2" s="4"/>
      <c r="E2" s="2"/>
      <c r="F2" s="2" t="s">
        <v>20</v>
      </c>
      <c r="G2" s="2"/>
      <c r="H2" s="2"/>
      <c r="I2" s="2"/>
      <c r="J2" s="2"/>
      <c r="K2" s="2"/>
      <c r="L2" s="4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7" ht="14.25" customHeight="1" x14ac:dyDescent="0.2">
      <c r="A3" s="2"/>
      <c r="B3" s="1" t="s">
        <v>21</v>
      </c>
      <c r="C3" s="1" t="s">
        <v>22</v>
      </c>
      <c r="D3" s="1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36</v>
      </c>
      <c r="R3" s="6" t="s">
        <v>37</v>
      </c>
      <c r="S3" s="6" t="s">
        <v>38</v>
      </c>
      <c r="T3" s="6" t="s">
        <v>39</v>
      </c>
      <c r="U3" s="6" t="s">
        <v>40</v>
      </c>
      <c r="V3" s="6" t="s">
        <v>41</v>
      </c>
      <c r="W3" s="6" t="s">
        <v>42</v>
      </c>
      <c r="X3" s="6" t="s">
        <v>43</v>
      </c>
      <c r="Y3" s="6" t="s">
        <v>44</v>
      </c>
      <c r="Z3" s="6" t="s">
        <v>45</v>
      </c>
      <c r="AA3" s="6" t="s">
        <v>46</v>
      </c>
    </row>
    <row r="4" spans="1:27" ht="14.25" customHeight="1" x14ac:dyDescent="0.2">
      <c r="A4" s="2" t="s">
        <v>47</v>
      </c>
      <c r="B4" s="18">
        <v>17220170107143</v>
      </c>
      <c r="C4" s="18">
        <v>13717107593220</v>
      </c>
      <c r="D4" s="18">
        <v>12343970133333</v>
      </c>
      <c r="E4" s="18">
        <v>11679883344262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5"/>
      <c r="U4" s="7"/>
      <c r="V4" s="7"/>
      <c r="W4" s="7"/>
      <c r="X4" s="7"/>
      <c r="Y4" s="7"/>
      <c r="Z4" s="7"/>
      <c r="AA4" s="7"/>
    </row>
    <row r="5" spans="1:27" ht="14.25" customHeight="1" x14ac:dyDescent="0.2">
      <c r="A5" s="2" t="s">
        <v>48</v>
      </c>
      <c r="B5" s="18">
        <v>2203440732143</v>
      </c>
      <c r="C5" s="18">
        <v>1432792796610</v>
      </c>
      <c r="D5" s="18">
        <v>1020518550000</v>
      </c>
      <c r="E5" s="18">
        <v>1414905311475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5"/>
      <c r="U5" s="7"/>
      <c r="V5" s="7"/>
      <c r="W5" s="7"/>
      <c r="X5" s="7"/>
      <c r="Y5" s="7"/>
      <c r="Z5" s="7"/>
      <c r="AA5" s="7"/>
    </row>
    <row r="6" spans="1:27" ht="14.25" customHeight="1" x14ac:dyDescent="0.2">
      <c r="A6" s="2" t="s">
        <v>49</v>
      </c>
      <c r="B6" s="18">
        <v>1109671107143</v>
      </c>
      <c r="C6" s="18">
        <v>820486016949</v>
      </c>
      <c r="D6" s="18">
        <v>755138283333</v>
      </c>
      <c r="E6" s="18">
        <v>1316757901639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5"/>
      <c r="U6" s="7"/>
      <c r="V6" s="7"/>
      <c r="W6" s="7"/>
      <c r="X6" s="7"/>
      <c r="Y6" s="7"/>
      <c r="Z6" s="7"/>
      <c r="AA6" s="7"/>
    </row>
    <row r="7" spans="1:27" ht="14.25" customHeight="1" x14ac:dyDescent="0.2">
      <c r="A7" s="2" t="s">
        <v>50</v>
      </c>
      <c r="B7" s="18">
        <v>10763623250000</v>
      </c>
      <c r="C7" s="18">
        <v>7477879169492</v>
      </c>
      <c r="D7" s="18">
        <v>5995004833333</v>
      </c>
      <c r="E7" s="18">
        <v>5348295737705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5"/>
      <c r="U7" s="7"/>
      <c r="V7" s="7"/>
      <c r="W7" s="7"/>
      <c r="X7" s="7"/>
      <c r="Y7" s="7"/>
      <c r="Z7" s="7"/>
      <c r="AA7" s="7"/>
    </row>
    <row r="8" spans="1:27" ht="14.25" customHeight="1" x14ac:dyDescent="0.2">
      <c r="A8" s="2" t="s">
        <v>51</v>
      </c>
      <c r="B8" s="18">
        <v>2660909553571</v>
      </c>
      <c r="C8" s="18">
        <v>0</v>
      </c>
      <c r="D8" s="18">
        <v>0</v>
      </c>
      <c r="E8" s="18">
        <v>0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5"/>
      <c r="U8" s="7"/>
      <c r="V8" s="7"/>
      <c r="W8" s="7"/>
      <c r="X8" s="7"/>
      <c r="Y8" s="7"/>
      <c r="Z8" s="7"/>
      <c r="AA8" s="7"/>
    </row>
    <row r="9" spans="1:27" ht="14.25" customHeight="1" x14ac:dyDescent="0.2">
      <c r="A9" s="2" t="s">
        <v>52</v>
      </c>
      <c r="B9" s="18">
        <v>6455841660714</v>
      </c>
      <c r="C9" s="18">
        <v>6238533576271</v>
      </c>
      <c r="D9" s="18">
        <v>6348271750000</v>
      </c>
      <c r="E9" s="18">
        <v>6330880819672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5"/>
      <c r="U9" s="7"/>
      <c r="V9" s="7"/>
      <c r="W9" s="7"/>
      <c r="X9" s="7"/>
      <c r="Y9" s="7"/>
      <c r="Z9" s="7"/>
      <c r="AA9" s="7"/>
    </row>
    <row r="10" spans="1:27" ht="14.25" customHeight="1" x14ac:dyDescent="0.2">
      <c r="A10" s="2" t="s">
        <v>53</v>
      </c>
      <c r="B10" s="18">
        <v>-265667410714</v>
      </c>
      <c r="C10" s="18">
        <v>-185260135593</v>
      </c>
      <c r="D10" s="18">
        <v>-458205166667</v>
      </c>
      <c r="E10" s="18">
        <v>-365231213115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5"/>
      <c r="U10" s="7"/>
      <c r="V10" s="7"/>
      <c r="W10" s="7"/>
      <c r="X10" s="7"/>
      <c r="Y10" s="7"/>
      <c r="Z10" s="7"/>
      <c r="AA10" s="7"/>
    </row>
    <row r="11" spans="1:27" ht="14.25" customHeight="1" x14ac:dyDescent="0.2">
      <c r="A11" s="6" t="s">
        <v>54</v>
      </c>
      <c r="B11" s="18">
        <v>551024821429</v>
      </c>
      <c r="C11" s="18">
        <v>44825322034</v>
      </c>
      <c r="D11" s="18">
        <v>2199400000</v>
      </c>
      <c r="E11" s="18">
        <v>1859622951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5"/>
      <c r="U11" s="7"/>
      <c r="V11" s="7"/>
      <c r="W11" s="7"/>
      <c r="X11" s="7"/>
      <c r="Y11" s="7"/>
      <c r="Z11" s="7"/>
      <c r="AA11" s="7"/>
    </row>
    <row r="12" spans="1:27" ht="14.25" customHeight="1" x14ac:dyDescent="0.2">
      <c r="A12" s="2" t="s">
        <v>55</v>
      </c>
      <c r="B12" s="18">
        <v>-456830375000</v>
      </c>
      <c r="C12" s="18">
        <v>-421878440678</v>
      </c>
      <c r="D12" s="18">
        <v>-317847850000</v>
      </c>
      <c r="E12" s="18">
        <v>-314196114754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5"/>
      <c r="U12" s="7"/>
      <c r="V12" s="7"/>
      <c r="W12" s="7"/>
      <c r="X12" s="7"/>
      <c r="Y12" s="7"/>
      <c r="Z12" s="7"/>
      <c r="AA12" s="7"/>
    </row>
    <row r="13" spans="1:27" ht="14.25" customHeight="1" x14ac:dyDescent="0.2">
      <c r="A13" s="2" t="s">
        <v>56</v>
      </c>
      <c r="B13" s="18">
        <v>14731366060</v>
      </c>
      <c r="C13" s="18">
        <v>14731366060</v>
      </c>
      <c r="D13" s="18">
        <v>20006577715</v>
      </c>
      <c r="E13" s="18">
        <v>16181071294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5"/>
      <c r="U13" s="7"/>
      <c r="V13" s="7"/>
      <c r="W13" s="7"/>
      <c r="X13" s="7"/>
      <c r="Y13" s="7"/>
      <c r="Z13" s="7"/>
      <c r="AA13" s="7"/>
    </row>
    <row r="14" spans="1:27" ht="14.25" customHeight="1" x14ac:dyDescent="0.2">
      <c r="A14" s="2" t="s">
        <v>57</v>
      </c>
      <c r="B14" s="4"/>
      <c r="C14" s="4"/>
      <c r="D14" s="4"/>
      <c r="E14" s="4"/>
      <c r="F14" s="4"/>
      <c r="G14" s="4"/>
      <c r="H14" s="5"/>
      <c r="I14" s="5"/>
      <c r="J14" s="5"/>
      <c r="K14" s="5">
        <v>444</v>
      </c>
      <c r="L14" s="5">
        <v>448</v>
      </c>
      <c r="M14" s="5">
        <v>454</v>
      </c>
      <c r="N14" s="5">
        <v>458</v>
      </c>
      <c r="O14" s="5">
        <v>454</v>
      </c>
      <c r="P14" s="5">
        <v>468</v>
      </c>
      <c r="Q14" s="5">
        <v>580</v>
      </c>
      <c r="R14" s="5">
        <v>610</v>
      </c>
      <c r="S14" s="5">
        <v>352</v>
      </c>
      <c r="T14" s="5">
        <v>725</v>
      </c>
      <c r="U14" s="7">
        <v>570</v>
      </c>
      <c r="V14" s="7">
        <v>570</v>
      </c>
      <c r="W14" s="4">
        <v>570</v>
      </c>
      <c r="X14" s="7">
        <v>570</v>
      </c>
      <c r="Y14" s="7">
        <v>570</v>
      </c>
      <c r="Z14" s="7">
        <v>1140</v>
      </c>
      <c r="AA14" s="7">
        <v>1140</v>
      </c>
    </row>
    <row r="15" spans="1:27" ht="14.25" customHeight="1" x14ac:dyDescent="0.2">
      <c r="A15" s="8" t="s">
        <v>58</v>
      </c>
      <c r="B15" s="6">
        <f t="shared" ref="B15:AA15" si="0">B9/B13</f>
        <v>438.2378140913566</v>
      </c>
      <c r="C15" s="6">
        <f t="shared" si="0"/>
        <v>423.48642691124599</v>
      </c>
      <c r="D15" s="6">
        <f t="shared" si="0"/>
        <v>317.30922901623308</v>
      </c>
      <c r="E15" s="6">
        <f t="shared" si="0"/>
        <v>391.2522665924792</v>
      </c>
      <c r="F15" s="6" t="e">
        <f t="shared" si="0"/>
        <v>#DIV/0!</v>
      </c>
      <c r="G15" s="6" t="e">
        <f t="shared" si="0"/>
        <v>#DIV/0!</v>
      </c>
      <c r="H15" s="6" t="e">
        <f t="shared" si="0"/>
        <v>#DIV/0!</v>
      </c>
      <c r="I15" s="6" t="e">
        <f t="shared" si="0"/>
        <v>#DIV/0!</v>
      </c>
      <c r="J15" s="6" t="e">
        <f t="shared" si="0"/>
        <v>#DIV/0!</v>
      </c>
      <c r="K15" s="6" t="e">
        <f t="shared" si="0"/>
        <v>#DIV/0!</v>
      </c>
      <c r="L15" s="6" t="e">
        <f t="shared" si="0"/>
        <v>#DIV/0!</v>
      </c>
      <c r="M15" s="6" t="e">
        <f t="shared" si="0"/>
        <v>#DIV/0!</v>
      </c>
      <c r="N15" s="6" t="e">
        <f t="shared" si="0"/>
        <v>#DIV/0!</v>
      </c>
      <c r="O15" s="6" t="e">
        <f t="shared" si="0"/>
        <v>#DIV/0!</v>
      </c>
      <c r="P15" s="6" t="e">
        <f t="shared" si="0"/>
        <v>#DIV/0!</v>
      </c>
      <c r="Q15" s="6" t="e">
        <f t="shared" si="0"/>
        <v>#DIV/0!</v>
      </c>
      <c r="R15" s="6" t="e">
        <f t="shared" si="0"/>
        <v>#DIV/0!</v>
      </c>
      <c r="S15" s="6" t="e">
        <f>S9/S13</f>
        <v>#DIV/0!</v>
      </c>
      <c r="T15" s="6" t="e">
        <f t="shared" si="0"/>
        <v>#DIV/0!</v>
      </c>
      <c r="U15" s="6" t="e">
        <f t="shared" si="0"/>
        <v>#DIV/0!</v>
      </c>
      <c r="V15" s="6" t="e">
        <f t="shared" si="0"/>
        <v>#DIV/0!</v>
      </c>
      <c r="W15" s="6" t="e">
        <f t="shared" si="0"/>
        <v>#DIV/0!</v>
      </c>
      <c r="X15" s="9" t="e">
        <f t="shared" si="0"/>
        <v>#DIV/0!</v>
      </c>
      <c r="Y15" s="9" t="e">
        <f t="shared" si="0"/>
        <v>#DIV/0!</v>
      </c>
      <c r="Z15" s="9" t="e">
        <f t="shared" si="0"/>
        <v>#DIV/0!</v>
      </c>
      <c r="AA15" s="9" t="e">
        <f t="shared" si="0"/>
        <v>#DIV/0!</v>
      </c>
    </row>
    <row r="16" spans="1:27" ht="14.25" customHeight="1" x14ac:dyDescent="0.2">
      <c r="A16" s="8" t="s">
        <v>59</v>
      </c>
      <c r="B16" s="6">
        <f t="shared" ref="B16:AA16" si="1">B5-B7</f>
        <v>-8560182517857</v>
      </c>
      <c r="C16" s="6">
        <f t="shared" si="1"/>
        <v>-6045086372882</v>
      </c>
      <c r="D16" s="6">
        <f t="shared" si="1"/>
        <v>-4974486283333</v>
      </c>
      <c r="E16" s="6">
        <f t="shared" si="1"/>
        <v>-3933390426230</v>
      </c>
      <c r="F16" s="6">
        <f t="shared" si="1"/>
        <v>0</v>
      </c>
      <c r="G16" s="6">
        <f t="shared" si="1"/>
        <v>0</v>
      </c>
      <c r="H16" s="6">
        <f t="shared" si="1"/>
        <v>0</v>
      </c>
      <c r="I16" s="6">
        <f t="shared" si="1"/>
        <v>0</v>
      </c>
      <c r="J16" s="6">
        <f t="shared" si="1"/>
        <v>0</v>
      </c>
      <c r="K16" s="6">
        <f t="shared" si="1"/>
        <v>0</v>
      </c>
      <c r="L16" s="6">
        <f t="shared" si="1"/>
        <v>0</v>
      </c>
      <c r="M16" s="6">
        <f t="shared" si="1"/>
        <v>0</v>
      </c>
      <c r="N16" s="6">
        <f t="shared" si="1"/>
        <v>0</v>
      </c>
      <c r="O16" s="6">
        <f t="shared" si="1"/>
        <v>0</v>
      </c>
      <c r="P16" s="6">
        <f t="shared" si="1"/>
        <v>0</v>
      </c>
      <c r="Q16" s="6">
        <f t="shared" si="1"/>
        <v>0</v>
      </c>
      <c r="R16" s="6">
        <f t="shared" si="1"/>
        <v>0</v>
      </c>
      <c r="S16" s="6">
        <f>S5-S7</f>
        <v>0</v>
      </c>
      <c r="T16" s="6">
        <f t="shared" si="1"/>
        <v>0</v>
      </c>
      <c r="U16" s="6">
        <f t="shared" si="1"/>
        <v>0</v>
      </c>
      <c r="V16" s="6">
        <f t="shared" si="1"/>
        <v>0</v>
      </c>
      <c r="W16" s="6">
        <f t="shared" si="1"/>
        <v>0</v>
      </c>
      <c r="X16" s="9">
        <f t="shared" si="1"/>
        <v>0</v>
      </c>
      <c r="Y16" s="9">
        <f t="shared" si="1"/>
        <v>0</v>
      </c>
      <c r="Z16" s="9">
        <f t="shared" si="1"/>
        <v>0</v>
      </c>
      <c r="AA16" s="9">
        <f t="shared" si="1"/>
        <v>0</v>
      </c>
    </row>
    <row r="17" spans="1:27" ht="14.25" customHeight="1" x14ac:dyDescent="0.2">
      <c r="A17" s="8" t="s">
        <v>60</v>
      </c>
      <c r="B17" s="10">
        <f t="shared" ref="B17:AA17" si="2">B10/B4</f>
        <v>-1.5427687941584271E-2</v>
      </c>
      <c r="C17" s="10">
        <f t="shared" si="2"/>
        <v>-1.350577257880292E-2</v>
      </c>
      <c r="D17" s="10">
        <f t="shared" si="2"/>
        <v>-3.7119756587038977E-2</v>
      </c>
      <c r="E17" s="10">
        <f t="shared" si="2"/>
        <v>-3.12701079582638E-2</v>
      </c>
      <c r="F17" s="10" t="e">
        <f t="shared" si="2"/>
        <v>#DIV/0!</v>
      </c>
      <c r="G17" s="10" t="e">
        <f t="shared" si="2"/>
        <v>#DIV/0!</v>
      </c>
      <c r="H17" s="10" t="e">
        <f t="shared" si="2"/>
        <v>#DIV/0!</v>
      </c>
      <c r="I17" s="10" t="e">
        <f t="shared" si="2"/>
        <v>#DIV/0!</v>
      </c>
      <c r="J17" s="10" t="e">
        <f t="shared" si="2"/>
        <v>#DIV/0!</v>
      </c>
      <c r="K17" s="10" t="e">
        <f t="shared" si="2"/>
        <v>#DIV/0!</v>
      </c>
      <c r="L17" s="10" t="e">
        <f t="shared" si="2"/>
        <v>#DIV/0!</v>
      </c>
      <c r="M17" s="10" t="e">
        <f t="shared" si="2"/>
        <v>#DIV/0!</v>
      </c>
      <c r="N17" s="10" t="e">
        <f t="shared" si="2"/>
        <v>#DIV/0!</v>
      </c>
      <c r="O17" s="10" t="e">
        <f t="shared" si="2"/>
        <v>#DIV/0!</v>
      </c>
      <c r="P17" s="10" t="e">
        <f t="shared" si="2"/>
        <v>#DIV/0!</v>
      </c>
      <c r="Q17" s="10" t="e">
        <f t="shared" si="2"/>
        <v>#DIV/0!</v>
      </c>
      <c r="R17" s="10" t="e">
        <f t="shared" si="2"/>
        <v>#DIV/0!</v>
      </c>
      <c r="S17" s="10" t="e">
        <f t="shared" si="2"/>
        <v>#DIV/0!</v>
      </c>
      <c r="T17" s="10" t="e">
        <f t="shared" si="2"/>
        <v>#DIV/0!</v>
      </c>
      <c r="U17" s="10" t="e">
        <f t="shared" si="2"/>
        <v>#DIV/0!</v>
      </c>
      <c r="V17" s="10" t="e">
        <f t="shared" si="2"/>
        <v>#DIV/0!</v>
      </c>
      <c r="W17" s="10" t="e">
        <f t="shared" si="2"/>
        <v>#DIV/0!</v>
      </c>
      <c r="X17" s="10" t="e">
        <f t="shared" si="2"/>
        <v>#DIV/0!</v>
      </c>
      <c r="Y17" s="10" t="e">
        <f t="shared" si="2"/>
        <v>#DIV/0!</v>
      </c>
      <c r="Z17" s="10" t="e">
        <f t="shared" si="2"/>
        <v>#DIV/0!</v>
      </c>
      <c r="AA17" s="10" t="e">
        <f t="shared" si="2"/>
        <v>#DIV/0!</v>
      </c>
    </row>
    <row r="18" spans="1:27" ht="14.25" customHeight="1" x14ac:dyDescent="0.2">
      <c r="A18" s="8" t="s">
        <v>61</v>
      </c>
      <c r="B18" s="10">
        <f t="shared" ref="B18:AA18" si="3">B10/B9</f>
        <v>-4.1151475621014198E-2</v>
      </c>
      <c r="C18" s="10">
        <f t="shared" si="3"/>
        <v>-2.969610299087895E-2</v>
      </c>
      <c r="D18" s="10">
        <f t="shared" si="3"/>
        <v>-7.217793829745868E-2</v>
      </c>
      <c r="E18" s="10">
        <f t="shared" si="3"/>
        <v>-5.7690426264243345E-2</v>
      </c>
      <c r="F18" s="10" t="e">
        <f t="shared" si="3"/>
        <v>#DIV/0!</v>
      </c>
      <c r="G18" s="10" t="e">
        <f t="shared" si="3"/>
        <v>#DIV/0!</v>
      </c>
      <c r="H18" s="10" t="e">
        <f t="shared" si="3"/>
        <v>#DIV/0!</v>
      </c>
      <c r="I18" s="10" t="e">
        <f t="shared" si="3"/>
        <v>#DIV/0!</v>
      </c>
      <c r="J18" s="10" t="e">
        <f t="shared" si="3"/>
        <v>#DIV/0!</v>
      </c>
      <c r="K18" s="10" t="e">
        <f t="shared" si="3"/>
        <v>#DIV/0!</v>
      </c>
      <c r="L18" s="10" t="e">
        <f t="shared" si="3"/>
        <v>#DIV/0!</v>
      </c>
      <c r="M18" s="10" t="e">
        <f t="shared" si="3"/>
        <v>#DIV/0!</v>
      </c>
      <c r="N18" s="10" t="e">
        <f t="shared" si="3"/>
        <v>#DIV/0!</v>
      </c>
      <c r="O18" s="10" t="e">
        <f t="shared" si="3"/>
        <v>#DIV/0!</v>
      </c>
      <c r="P18" s="10" t="e">
        <f t="shared" si="3"/>
        <v>#DIV/0!</v>
      </c>
      <c r="Q18" s="10" t="e">
        <f t="shared" si="3"/>
        <v>#DIV/0!</v>
      </c>
      <c r="R18" s="10" t="e">
        <f t="shared" si="3"/>
        <v>#DIV/0!</v>
      </c>
      <c r="S18" s="10" t="e">
        <f t="shared" si="3"/>
        <v>#DIV/0!</v>
      </c>
      <c r="T18" s="10" t="e">
        <f t="shared" si="3"/>
        <v>#DIV/0!</v>
      </c>
      <c r="U18" s="10" t="e">
        <f t="shared" si="3"/>
        <v>#DIV/0!</v>
      </c>
      <c r="V18" s="10" t="e">
        <f t="shared" si="3"/>
        <v>#DIV/0!</v>
      </c>
      <c r="W18" s="10" t="e">
        <f t="shared" si="3"/>
        <v>#DIV/0!</v>
      </c>
      <c r="X18" s="10" t="e">
        <f t="shared" si="3"/>
        <v>#DIV/0!</v>
      </c>
      <c r="Y18" s="10" t="e">
        <f t="shared" si="3"/>
        <v>#DIV/0!</v>
      </c>
      <c r="Z18" s="10" t="e">
        <f t="shared" si="3"/>
        <v>#DIV/0!</v>
      </c>
      <c r="AA18" s="10" t="e">
        <f t="shared" si="3"/>
        <v>#DIV/0!</v>
      </c>
    </row>
    <row r="19" spans="1:27" ht="14.25" customHeight="1" x14ac:dyDescent="0.2">
      <c r="A19" s="8" t="s">
        <v>62</v>
      </c>
      <c r="B19" s="11">
        <f t="shared" ref="B19:AA19" si="4">B14/B15</f>
        <v>0</v>
      </c>
      <c r="C19" s="11">
        <f t="shared" si="4"/>
        <v>0</v>
      </c>
      <c r="D19" s="11">
        <f t="shared" si="4"/>
        <v>0</v>
      </c>
      <c r="E19" s="11">
        <f t="shared" si="4"/>
        <v>0</v>
      </c>
      <c r="F19" s="11" t="e">
        <f t="shared" si="4"/>
        <v>#DIV/0!</v>
      </c>
      <c r="G19" s="11" t="e">
        <f t="shared" si="4"/>
        <v>#DIV/0!</v>
      </c>
      <c r="H19" s="11" t="e">
        <f t="shared" si="4"/>
        <v>#DIV/0!</v>
      </c>
      <c r="I19" s="11" t="e">
        <f t="shared" si="4"/>
        <v>#DIV/0!</v>
      </c>
      <c r="J19" s="11" t="e">
        <f t="shared" si="4"/>
        <v>#DIV/0!</v>
      </c>
      <c r="K19" s="11" t="e">
        <f t="shared" si="4"/>
        <v>#DIV/0!</v>
      </c>
      <c r="L19" s="11" t="e">
        <f t="shared" si="4"/>
        <v>#DIV/0!</v>
      </c>
      <c r="M19" s="11" t="e">
        <f t="shared" si="4"/>
        <v>#DIV/0!</v>
      </c>
      <c r="N19" s="11" t="e">
        <f t="shared" si="4"/>
        <v>#DIV/0!</v>
      </c>
      <c r="O19" s="11" t="e">
        <f t="shared" si="4"/>
        <v>#DIV/0!</v>
      </c>
      <c r="P19" s="11" t="e">
        <f t="shared" si="4"/>
        <v>#DIV/0!</v>
      </c>
      <c r="Q19" s="11" t="e">
        <f t="shared" si="4"/>
        <v>#DIV/0!</v>
      </c>
      <c r="R19" s="11" t="e">
        <f t="shared" si="4"/>
        <v>#DIV/0!</v>
      </c>
      <c r="S19" s="11" t="e">
        <f t="shared" si="4"/>
        <v>#DIV/0!</v>
      </c>
      <c r="T19" s="11" t="e">
        <f t="shared" si="4"/>
        <v>#DIV/0!</v>
      </c>
      <c r="U19" s="11" t="e">
        <f t="shared" si="4"/>
        <v>#DIV/0!</v>
      </c>
      <c r="V19" s="11" t="e">
        <f t="shared" si="4"/>
        <v>#DIV/0!</v>
      </c>
      <c r="W19" s="11" t="e">
        <f t="shared" si="4"/>
        <v>#DIV/0!</v>
      </c>
      <c r="X19" s="9" t="e">
        <f t="shared" si="4"/>
        <v>#DIV/0!</v>
      </c>
      <c r="Y19" s="9" t="e">
        <f t="shared" si="4"/>
        <v>#DIV/0!</v>
      </c>
      <c r="Z19" s="9" t="e">
        <f t="shared" si="4"/>
        <v>#DIV/0!</v>
      </c>
      <c r="AA19" s="9" t="e">
        <f t="shared" si="4"/>
        <v>#DIV/0!</v>
      </c>
    </row>
    <row r="20" spans="1:27" ht="14.25" customHeight="1" x14ac:dyDescent="0.2">
      <c r="A20" s="8" t="s">
        <v>63</v>
      </c>
      <c r="B20" s="11">
        <f t="shared" ref="B20:AA20" si="5">B14/B21</f>
        <v>0</v>
      </c>
      <c r="C20" s="11">
        <f t="shared" si="5"/>
        <v>0</v>
      </c>
      <c r="D20" s="11">
        <f t="shared" si="5"/>
        <v>0</v>
      </c>
      <c r="E20" s="11">
        <f t="shared" si="5"/>
        <v>0</v>
      </c>
      <c r="F20" s="11" t="e">
        <f t="shared" si="5"/>
        <v>#DIV/0!</v>
      </c>
      <c r="G20" s="11" t="e">
        <f t="shared" si="5"/>
        <v>#DIV/0!</v>
      </c>
      <c r="H20" s="11" t="e">
        <f t="shared" si="5"/>
        <v>#DIV/0!</v>
      </c>
      <c r="I20" s="11" t="e">
        <f t="shared" si="5"/>
        <v>#DIV/0!</v>
      </c>
      <c r="J20" s="11" t="e">
        <f t="shared" si="5"/>
        <v>#DIV/0!</v>
      </c>
      <c r="K20" s="11" t="e">
        <f t="shared" si="5"/>
        <v>#DIV/0!</v>
      </c>
      <c r="L20" s="11" t="e">
        <f t="shared" si="5"/>
        <v>#DIV/0!</v>
      </c>
      <c r="M20" s="11" t="e">
        <f t="shared" si="5"/>
        <v>#DIV/0!</v>
      </c>
      <c r="N20" s="11" t="e">
        <f t="shared" si="5"/>
        <v>#DIV/0!</v>
      </c>
      <c r="O20" s="11" t="e">
        <f t="shared" si="5"/>
        <v>#DIV/0!</v>
      </c>
      <c r="P20" s="11" t="e">
        <f t="shared" si="5"/>
        <v>#DIV/0!</v>
      </c>
      <c r="Q20" s="11" t="e">
        <f t="shared" si="5"/>
        <v>#DIV/0!</v>
      </c>
      <c r="R20" s="11" t="e">
        <f t="shared" si="5"/>
        <v>#DIV/0!</v>
      </c>
      <c r="S20" s="11" t="e">
        <f t="shared" si="5"/>
        <v>#DIV/0!</v>
      </c>
      <c r="T20" s="11" t="e">
        <f t="shared" si="5"/>
        <v>#DIV/0!</v>
      </c>
      <c r="U20" s="11" t="e">
        <f t="shared" si="5"/>
        <v>#DIV/0!</v>
      </c>
      <c r="V20" s="11" t="e">
        <f t="shared" si="5"/>
        <v>#DIV/0!</v>
      </c>
      <c r="W20" s="11" t="e">
        <f t="shared" si="5"/>
        <v>#DIV/0!</v>
      </c>
      <c r="X20" s="9" t="e">
        <f t="shared" si="5"/>
        <v>#DIV/0!</v>
      </c>
      <c r="Y20" s="9" t="e">
        <f t="shared" si="5"/>
        <v>#DIV/0!</v>
      </c>
      <c r="Z20" s="9" t="e">
        <f t="shared" si="5"/>
        <v>#DIV/0!</v>
      </c>
      <c r="AA20" s="9" t="e">
        <f t="shared" si="5"/>
        <v>#DIV/0!</v>
      </c>
    </row>
    <row r="21" spans="1:27" ht="14.25" customHeight="1" x14ac:dyDescent="0.2">
      <c r="A21" s="8" t="s">
        <v>64</v>
      </c>
      <c r="B21" s="6">
        <f t="shared" ref="B21:AA21" si="6">B10/B13</f>
        <v>-18.034132722787014</v>
      </c>
      <c r="C21" s="6">
        <f t="shared" si="6"/>
        <v>-12.575896548795692</v>
      </c>
      <c r="D21" s="6">
        <f t="shared" si="6"/>
        <v>-22.902725953147854</v>
      </c>
      <c r="E21" s="6">
        <f t="shared" si="6"/>
        <v>-22.5715100365715</v>
      </c>
      <c r="F21" s="6" t="e">
        <f t="shared" si="6"/>
        <v>#DIV/0!</v>
      </c>
      <c r="G21" s="6" t="e">
        <f t="shared" si="6"/>
        <v>#DIV/0!</v>
      </c>
      <c r="H21" s="6" t="e">
        <f t="shared" si="6"/>
        <v>#DIV/0!</v>
      </c>
      <c r="I21" s="6" t="e">
        <f t="shared" si="6"/>
        <v>#DIV/0!</v>
      </c>
      <c r="J21" s="6" t="e">
        <f t="shared" si="6"/>
        <v>#DIV/0!</v>
      </c>
      <c r="K21" s="6" t="e">
        <f t="shared" si="6"/>
        <v>#DIV/0!</v>
      </c>
      <c r="L21" s="6" t="e">
        <f t="shared" si="6"/>
        <v>#DIV/0!</v>
      </c>
      <c r="M21" s="6" t="e">
        <f t="shared" si="6"/>
        <v>#DIV/0!</v>
      </c>
      <c r="N21" s="6" t="e">
        <f t="shared" si="6"/>
        <v>#DIV/0!</v>
      </c>
      <c r="O21" s="6" t="e">
        <f t="shared" si="6"/>
        <v>#DIV/0!</v>
      </c>
      <c r="P21" s="6" t="e">
        <f t="shared" si="6"/>
        <v>#DIV/0!</v>
      </c>
      <c r="Q21" s="6" t="e">
        <f t="shared" si="6"/>
        <v>#DIV/0!</v>
      </c>
      <c r="R21" s="6" t="e">
        <f t="shared" si="6"/>
        <v>#DIV/0!</v>
      </c>
      <c r="S21" s="6" t="e">
        <f t="shared" si="6"/>
        <v>#DIV/0!</v>
      </c>
      <c r="T21" s="6" t="e">
        <f t="shared" si="6"/>
        <v>#DIV/0!</v>
      </c>
      <c r="U21" s="6" t="e">
        <f t="shared" si="6"/>
        <v>#DIV/0!</v>
      </c>
      <c r="V21" s="6" t="e">
        <f t="shared" si="6"/>
        <v>#DIV/0!</v>
      </c>
      <c r="W21" s="6" t="e">
        <f t="shared" si="6"/>
        <v>#DIV/0!</v>
      </c>
      <c r="X21" s="9" t="e">
        <f t="shared" si="6"/>
        <v>#DIV/0!</v>
      </c>
      <c r="Y21" s="9" t="e">
        <f t="shared" si="6"/>
        <v>#DIV/0!</v>
      </c>
      <c r="Z21" s="9" t="e">
        <f t="shared" si="6"/>
        <v>#DIV/0!</v>
      </c>
      <c r="AA21" s="9" t="e">
        <f t="shared" si="6"/>
        <v>#DIV/0!</v>
      </c>
    </row>
    <row r="22" spans="1:27" ht="14.25" customHeight="1" x14ac:dyDescent="0.2">
      <c r="A22" s="8" t="s">
        <v>65</v>
      </c>
      <c r="B22" s="10">
        <f t="shared" ref="B22:AA22" si="7">B7/B9</f>
        <v>1.6672687800725228</v>
      </c>
      <c r="C22" s="10">
        <f t="shared" si="7"/>
        <v>1.1986597616361314</v>
      </c>
      <c r="D22" s="10">
        <f t="shared" si="7"/>
        <v>0.94435226931377036</v>
      </c>
      <c r="E22" s="10">
        <f t="shared" si="7"/>
        <v>0.84479488558467175</v>
      </c>
      <c r="F22" s="10" t="e">
        <f t="shared" si="7"/>
        <v>#DIV/0!</v>
      </c>
      <c r="G22" s="10" t="e">
        <f t="shared" si="7"/>
        <v>#DIV/0!</v>
      </c>
      <c r="H22" s="10" t="e">
        <f t="shared" si="7"/>
        <v>#DIV/0!</v>
      </c>
      <c r="I22" s="10" t="e">
        <f t="shared" si="7"/>
        <v>#DIV/0!</v>
      </c>
      <c r="J22" s="10" t="e">
        <f t="shared" si="7"/>
        <v>#DIV/0!</v>
      </c>
      <c r="K22" s="10" t="e">
        <f t="shared" si="7"/>
        <v>#DIV/0!</v>
      </c>
      <c r="L22" s="10" t="e">
        <f t="shared" si="7"/>
        <v>#DIV/0!</v>
      </c>
      <c r="M22" s="10" t="e">
        <f t="shared" si="7"/>
        <v>#DIV/0!</v>
      </c>
      <c r="N22" s="10" t="e">
        <f t="shared" si="7"/>
        <v>#DIV/0!</v>
      </c>
      <c r="O22" s="10" t="e">
        <f t="shared" si="7"/>
        <v>#DIV/0!</v>
      </c>
      <c r="P22" s="10" t="e">
        <f t="shared" si="7"/>
        <v>#DIV/0!</v>
      </c>
      <c r="Q22" s="10" t="e">
        <f t="shared" si="7"/>
        <v>#DIV/0!</v>
      </c>
      <c r="R22" s="10" t="e">
        <f t="shared" si="7"/>
        <v>#DIV/0!</v>
      </c>
      <c r="S22" s="10" t="e">
        <f t="shared" si="7"/>
        <v>#DIV/0!</v>
      </c>
      <c r="T22" s="10" t="e">
        <f t="shared" si="7"/>
        <v>#DIV/0!</v>
      </c>
      <c r="U22" s="10" t="e">
        <f t="shared" si="7"/>
        <v>#DIV/0!</v>
      </c>
      <c r="V22" s="10" t="e">
        <f t="shared" si="7"/>
        <v>#DIV/0!</v>
      </c>
      <c r="W22" s="10" t="e">
        <f t="shared" si="7"/>
        <v>#DIV/0!</v>
      </c>
      <c r="X22" s="10" t="e">
        <f t="shared" si="7"/>
        <v>#DIV/0!</v>
      </c>
      <c r="Y22" s="10" t="e">
        <f t="shared" si="7"/>
        <v>#DIV/0!</v>
      </c>
      <c r="Z22" s="10" t="e">
        <f t="shared" si="7"/>
        <v>#DIV/0!</v>
      </c>
      <c r="AA22" s="10" t="e">
        <f t="shared" si="7"/>
        <v>#DIV/0!</v>
      </c>
    </row>
    <row r="23" spans="1:27" ht="14.25" customHeight="1" x14ac:dyDescent="0.2"/>
    <row r="24" spans="1:27" ht="14.25" customHeight="1" x14ac:dyDescent="0.2">
      <c r="C24" s="17">
        <v>13717107593220</v>
      </c>
      <c r="D24" s="17">
        <v>1432792796610</v>
      </c>
      <c r="E24" s="17">
        <v>820486016949</v>
      </c>
      <c r="F24" s="17">
        <v>7477879169492</v>
      </c>
      <c r="G24" s="17">
        <v>0</v>
      </c>
      <c r="H24" s="17">
        <v>6238533576271</v>
      </c>
      <c r="I24" s="17">
        <v>-185260135593</v>
      </c>
      <c r="J24" s="17">
        <v>44825322034</v>
      </c>
      <c r="K24" s="17">
        <v>-421878440678</v>
      </c>
      <c r="L24" s="17" t="s">
        <v>73</v>
      </c>
      <c r="M24" s="17">
        <v>1316757901639</v>
      </c>
      <c r="N24" s="17">
        <v>5348295737705</v>
      </c>
      <c r="O24" s="17">
        <v>0</v>
      </c>
      <c r="P24" s="17">
        <v>6330880819672</v>
      </c>
      <c r="Q24" s="17">
        <v>-365231213115</v>
      </c>
      <c r="R24" s="17">
        <v>1859622951</v>
      </c>
      <c r="S24" s="17">
        <v>-314196114754</v>
      </c>
      <c r="T24" s="17" t="s">
        <v>72</v>
      </c>
    </row>
    <row r="25" spans="1:27" ht="14.25" customHeight="1" x14ac:dyDescent="0.2"/>
    <row r="26" spans="1:27" ht="14.25" customHeight="1" x14ac:dyDescent="0.2">
      <c r="K26" s="17">
        <v>45857963000000</v>
      </c>
      <c r="L26" s="17">
        <v>24630760000000</v>
      </c>
      <c r="M26" s="17">
        <v>4460703000000</v>
      </c>
      <c r="N26" s="17">
        <v>11706869000000</v>
      </c>
      <c r="O26" s="17">
        <v>3480000000000</v>
      </c>
      <c r="P26" s="17">
        <v>34136370000000</v>
      </c>
      <c r="Q26" s="17">
        <v>5643863000000</v>
      </c>
      <c r="R26" s="17">
        <v>70704988000000</v>
      </c>
      <c r="S26" s="17">
        <v>5773901000000</v>
      </c>
      <c r="T26" s="17" t="s">
        <v>70</v>
      </c>
    </row>
    <row r="27" spans="1:27" ht="14.25" customHeight="1" x14ac:dyDescent="0.2">
      <c r="K27" s="17">
        <v>43716001000000</v>
      </c>
      <c r="L27" s="17">
        <v>22325382000000</v>
      </c>
      <c r="M27" s="17">
        <v>4186323000000</v>
      </c>
      <c r="N27" s="17">
        <v>11811932000000</v>
      </c>
      <c r="O27" s="17">
        <v>4250000000000</v>
      </c>
      <c r="P27" s="17">
        <v>31885954000000</v>
      </c>
      <c r="Q27" s="17">
        <v>3365043000000</v>
      </c>
      <c r="R27" s="17">
        <v>50604542000000</v>
      </c>
      <c r="S27" s="17">
        <v>4015120000000</v>
      </c>
      <c r="T27" s="17" t="s">
        <v>70</v>
      </c>
    </row>
    <row r="28" spans="1:27" ht="14.25" customHeight="1" x14ac:dyDescent="0.2">
      <c r="K28" s="17">
        <v>43149273000000</v>
      </c>
      <c r="L28" s="17">
        <v>21712537000000</v>
      </c>
      <c r="M28" s="17">
        <v>3381678000000</v>
      </c>
      <c r="N28" s="17">
        <v>12714801000000</v>
      </c>
      <c r="O28" s="17">
        <v>4777353000000</v>
      </c>
      <c r="P28" s="17">
        <v>30415323000000</v>
      </c>
      <c r="Q28" s="17">
        <v>1900390000000</v>
      </c>
      <c r="R28" s="17">
        <v>33061683000000</v>
      </c>
      <c r="S28" s="17">
        <v>2133968000000</v>
      </c>
      <c r="T28" s="17" t="s">
        <v>70</v>
      </c>
    </row>
    <row r="29" spans="1:27" ht="14.25" customHeight="1" x14ac:dyDescent="0.2">
      <c r="K29" s="17">
        <v>43765363000000</v>
      </c>
      <c r="L29" s="17">
        <v>22408711000000</v>
      </c>
      <c r="M29" s="17">
        <v>5773705000000</v>
      </c>
      <c r="N29" s="17">
        <v>11938263000000</v>
      </c>
      <c r="O29" s="17">
        <v>4400000000000</v>
      </c>
      <c r="P29" s="17">
        <v>31810990000000</v>
      </c>
      <c r="Q29" s="17">
        <v>1537031000000</v>
      </c>
      <c r="R29" s="17">
        <v>17704697000000</v>
      </c>
      <c r="S29" s="17">
        <v>2598615000000</v>
      </c>
      <c r="T29" s="17" t="s">
        <v>70</v>
      </c>
    </row>
    <row r="30" spans="1:27" ht="14.25" customHeight="1" x14ac:dyDescent="0.2"/>
    <row r="31" spans="1:27" ht="14.25" customHeight="1" x14ac:dyDescent="0.2"/>
    <row r="32" spans="1:27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58A72-9464-5845-A57C-12441F1547AB}">
  <dimension ref="A1:H2"/>
  <sheetViews>
    <sheetView workbookViewId="0">
      <selection activeCell="H2" sqref="H2"/>
    </sheetView>
  </sheetViews>
  <sheetFormatPr baseColWidth="10" defaultRowHeight="15" x14ac:dyDescent="0.2"/>
  <cols>
    <col min="3" max="3" width="11.83203125" bestFit="1" customWidth="1"/>
    <col min="4" max="4" width="19.33203125" bestFit="1" customWidth="1"/>
    <col min="6" max="8" width="17.33203125" bestFit="1" customWidth="1"/>
  </cols>
  <sheetData>
    <row r="1" spans="1:8" x14ac:dyDescent="0.2">
      <c r="A1" t="s">
        <v>66</v>
      </c>
      <c r="B1" t="s">
        <v>67</v>
      </c>
      <c r="C1" t="s">
        <v>68</v>
      </c>
      <c r="D1" t="s">
        <v>69</v>
      </c>
    </row>
    <row r="2" spans="1:8" x14ac:dyDescent="0.2">
      <c r="A2" s="14">
        <v>6.7299999999999999E-2</v>
      </c>
      <c r="B2">
        <f>1000/A2</f>
        <v>14858.841010401189</v>
      </c>
      <c r="C2" s="15">
        <v>247029168</v>
      </c>
      <c r="D2" s="12">
        <f>B2*C2</f>
        <v>3670567132243.6851</v>
      </c>
      <c r="F2" s="16">
        <v>3868963000000</v>
      </c>
      <c r="G2" s="16">
        <v>555246000000</v>
      </c>
      <c r="H2" s="13">
        <f>F2+G2</f>
        <v>4424209000000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"/>
  <sheetViews>
    <sheetView workbookViewId="0"/>
  </sheetViews>
  <sheetFormatPr baseColWidth="10" defaultColWidth="12.6640625" defaultRowHeight="15" customHeight="1" x14ac:dyDescent="0.2"/>
  <cols>
    <col min="1" max="1" width="27.83203125" customWidth="1"/>
    <col min="2" max="2" width="25.1640625" customWidth="1"/>
    <col min="3" max="3" width="24.5" customWidth="1"/>
  </cols>
  <sheetData>
    <row r="1" spans="1:4" x14ac:dyDescent="0.2">
      <c r="A1" s="1" t="s">
        <v>0</v>
      </c>
      <c r="B1" s="1" t="s">
        <v>2</v>
      </c>
      <c r="C1" s="1" t="s">
        <v>3</v>
      </c>
      <c r="D1" s="1" t="s">
        <v>3</v>
      </c>
    </row>
    <row r="2" spans="1:4" x14ac:dyDescent="0.2">
      <c r="A2" s="3" t="s">
        <v>4</v>
      </c>
      <c r="B2" s="1" t="s">
        <v>5</v>
      </c>
      <c r="C2" s="1">
        <v>3734</v>
      </c>
      <c r="D2" s="1" t="s">
        <v>6</v>
      </c>
    </row>
    <row r="3" spans="1:4" x14ac:dyDescent="0.2">
      <c r="A3" s="1" t="s">
        <v>7</v>
      </c>
      <c r="B3" s="1" t="s">
        <v>8</v>
      </c>
      <c r="C3" s="1">
        <v>6365</v>
      </c>
      <c r="D3" s="1" t="s">
        <v>6</v>
      </c>
    </row>
    <row r="4" spans="1:4" x14ac:dyDescent="0.2">
      <c r="A4" s="3" t="s">
        <v>9</v>
      </c>
      <c r="B4" s="3" t="s">
        <v>10</v>
      </c>
      <c r="C4" s="3">
        <v>6267</v>
      </c>
      <c r="D4" s="1" t="s">
        <v>6</v>
      </c>
    </row>
    <row r="5" spans="1:4" x14ac:dyDescent="0.2">
      <c r="A5" s="3" t="s">
        <v>11</v>
      </c>
      <c r="B5" s="3" t="s">
        <v>12</v>
      </c>
      <c r="C5" s="3">
        <v>5029</v>
      </c>
      <c r="D5" s="1" t="s">
        <v>6</v>
      </c>
    </row>
    <row r="6" spans="1:4" x14ac:dyDescent="0.2">
      <c r="A6" s="3" t="s">
        <v>13</v>
      </c>
      <c r="B6" s="3" t="s">
        <v>12</v>
      </c>
      <c r="C6" s="3">
        <v>10794</v>
      </c>
      <c r="D6" s="1" t="s">
        <v>6</v>
      </c>
    </row>
    <row r="7" spans="1:4" x14ac:dyDescent="0.2">
      <c r="A7" s="3" t="s">
        <v>14</v>
      </c>
      <c r="B7" s="3" t="s">
        <v>12</v>
      </c>
      <c r="C7" s="3">
        <v>3356</v>
      </c>
      <c r="D7" s="1" t="s">
        <v>6</v>
      </c>
    </row>
    <row r="8" spans="1:4" x14ac:dyDescent="0.2">
      <c r="A8" s="1" t="s">
        <v>15</v>
      </c>
      <c r="B8" s="3" t="s">
        <v>12</v>
      </c>
      <c r="C8" s="3">
        <v>16348</v>
      </c>
      <c r="D8" s="1" t="s">
        <v>6</v>
      </c>
    </row>
    <row r="9" spans="1:4" x14ac:dyDescent="0.2">
      <c r="A9" s="3" t="s">
        <v>16</v>
      </c>
      <c r="B9" s="3" t="s">
        <v>17</v>
      </c>
      <c r="C9" s="3">
        <v>1528</v>
      </c>
      <c r="D9" s="1" t="s">
        <v>6</v>
      </c>
    </row>
    <row r="10" spans="1:4" x14ac:dyDescent="0.2">
      <c r="A10" s="3" t="s">
        <v>18</v>
      </c>
      <c r="B10" s="3" t="s">
        <v>17</v>
      </c>
      <c r="C10" s="3">
        <v>11009</v>
      </c>
      <c r="D10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lokasi kebun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Digitaloffice05679</dc:creator>
  <cp:lastModifiedBy>Muhammad Najmi Rahmani</cp:lastModifiedBy>
  <dcterms:created xsi:type="dcterms:W3CDTF">2025-11-28T07:59:29Z</dcterms:created>
  <dcterms:modified xsi:type="dcterms:W3CDTF">2026-09-06T13:46:37Z</dcterms:modified>
</cp:coreProperties>
</file>