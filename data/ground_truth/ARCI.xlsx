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0458C743-5B2E-D14A-8751-6175D6C1B91F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AA20" i="1" s="1"/>
  <c r="Z21" i="1"/>
  <c r="Y21" i="1"/>
  <c r="X21" i="1"/>
  <c r="W21" i="1"/>
  <c r="V21" i="1"/>
  <c r="V20" i="1" s="1"/>
  <c r="U21" i="1"/>
  <c r="U20" i="1" s="1"/>
  <c r="T21" i="1"/>
  <c r="T20" i="1" s="1"/>
  <c r="S21" i="1"/>
  <c r="S20" i="1" s="1"/>
  <c r="R21" i="1"/>
  <c r="R20" i="1" s="1"/>
  <c r="Q21" i="1"/>
  <c r="Q20" i="1" s="1"/>
  <c r="P21" i="1"/>
  <c r="O21" i="1"/>
  <c r="N21" i="1"/>
  <c r="M21" i="1"/>
  <c r="L21" i="1"/>
  <c r="L20" i="1" s="1"/>
  <c r="K21" i="1"/>
  <c r="K20" i="1" s="1"/>
  <c r="J21" i="1"/>
  <c r="J20" i="1" s="1"/>
  <c r="I21" i="1"/>
  <c r="I20" i="1" s="1"/>
  <c r="H21" i="1"/>
  <c r="H20" i="1" s="1"/>
  <c r="G21" i="1"/>
  <c r="G20" i="1" s="1"/>
  <c r="F21" i="1"/>
  <c r="E21" i="1"/>
  <c r="D21" i="1"/>
  <c r="C21" i="1"/>
  <c r="B21" i="1"/>
  <c r="B20" i="1" s="1"/>
  <c r="Z20" i="1"/>
  <c r="Y20" i="1"/>
  <c r="X20" i="1"/>
  <c r="W20" i="1"/>
  <c r="P20" i="1"/>
  <c r="O20" i="1"/>
  <c r="N20" i="1"/>
  <c r="M20" i="1"/>
  <c r="F20" i="1"/>
  <c r="E20" i="1"/>
  <c r="D20" i="1"/>
  <c r="C20" i="1"/>
  <c r="V19" i="1"/>
  <c r="U19" i="1"/>
  <c r="T19" i="1"/>
  <c r="S19" i="1"/>
  <c r="L19" i="1"/>
  <c r="K19" i="1"/>
  <c r="J19" i="1"/>
  <c r="I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Y19" i="1" s="1"/>
  <c r="X15" i="1"/>
  <c r="X19" i="1" s="1"/>
  <c r="W15" i="1"/>
  <c r="W19" i="1" s="1"/>
  <c r="V15" i="1"/>
  <c r="U15" i="1"/>
  <c r="T15" i="1"/>
  <c r="S15" i="1"/>
  <c r="R15" i="1"/>
  <c r="R19" i="1" s="1"/>
  <c r="Q15" i="1"/>
  <c r="Q19" i="1" s="1"/>
  <c r="P15" i="1"/>
  <c r="P19" i="1" s="1"/>
  <c r="O15" i="1"/>
  <c r="O19" i="1" s="1"/>
  <c r="N15" i="1"/>
  <c r="N19" i="1" s="1"/>
  <c r="M15" i="1"/>
  <c r="M19" i="1" s="1"/>
  <c r="L15" i="1"/>
  <c r="K15" i="1"/>
  <c r="J15" i="1"/>
  <c r="I15" i="1"/>
  <c r="H15" i="1"/>
  <c r="H19" i="1" s="1"/>
  <c r="G15" i="1"/>
  <c r="G19" i="1" s="1"/>
  <c r="F15" i="1"/>
  <c r="F19" i="1" s="1"/>
  <c r="E15" i="1"/>
  <c r="E19" i="1" s="1"/>
  <c r="D15" i="1"/>
  <c r="D19" i="1" s="1"/>
  <c r="C15" i="1"/>
  <c r="C19" i="1" s="1"/>
  <c r="B15" i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<sst xmlns="http://schemas.openxmlformats.org/spreadsheetml/2006/main" count="84" uniqueCount="71">
  <si>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</si>
  <si>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ARCI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</si>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</sst>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8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11"/>
      <color theme="1"/>
      <name val="Tahoma"/>
      <family val="2"/>
    </font>
    <font>
      <sz val="9"/>
      <color rgb="FF000000"/>
      <name val="Helvetica"/>
      <family val="2"/>
    </font>
    <font>
      <sz val="11"/>
      <color rgb="FF000000"/>
      <name val="Aptos Narrow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0" fontId="4" fillId="0" borderId="0" xfId="0" applyFont="1"/>
    <xf numFmtId="41" fontId="0" fillId="0" borderId="0" xfId="1" applyFont="1"/>
    <xf numFmtId="41" fontId="0" fillId="0" borderId="0" xfId="0" applyNumberFormat="1"/>
    <xf numFmtId="0" fontId="5" fillId="0" borderId="0" xfId="0" applyFont="1"/>
    <xf numFmtId="3" fontId="5" fillId="0" borderId="0" xfId="0" applyNumberFormat="1" applyFont="1"/>
    <xf numFmtId="41" fontId="6" fillId="0" borderId="0" xfId="0" applyNumberFormat="1" applyFont="1"/>
    <xf numFmtId="0" fontId="7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N1" activePane="topRight" state="frozen"/>
      <selection pane="topRight" activeCell="L43" sqref="L43:O52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6640625" bestFit="1" customWidth="1"/>
    <col min="9" max="9" width="19.5" customWidth="1"/>
    <col min="10" max="15" width="18.6640625" bestFit="1" customWidth="1"/>
    <col min="16" max="17" width="18.33203125" bestFit="1" customWidth="1"/>
    <col min="18" max="18" width="32.83203125" bestFit="1" customWidth="1"/>
    <col min="19" max="19" width="18.332031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12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9">
        <v>19189496535714</v>
      </c>
      <c r="C4" s="19">
        <v>18047481428571</v>
      </c>
      <c r="D4" s="19">
        <v>17227573439597</v>
      </c>
      <c r="E4" s="19">
        <v>15886383333333</v>
      </c>
      <c r="F4" s="19">
        <v>14580815081169</v>
      </c>
      <c r="G4" s="19">
        <v>14619914494196</v>
      </c>
      <c r="H4" s="19">
        <v>13980610613893</v>
      </c>
      <c r="I4" s="19">
        <v>12766261376702</v>
      </c>
      <c r="J4" s="19">
        <v>13503189704433</v>
      </c>
      <c r="K4" s="19">
        <v>12882307892235</v>
      </c>
      <c r="L4" s="19">
        <v>12381820970724</v>
      </c>
      <c r="M4" s="19">
        <v>12334644565217</v>
      </c>
      <c r="N4" s="19">
        <v>11325048408408</v>
      </c>
      <c r="O4" s="19">
        <v>11020926611446</v>
      </c>
      <c r="P4" s="5">
        <v>11286421729559.75</v>
      </c>
      <c r="Q4" s="5">
        <v>11028397774390.24</v>
      </c>
      <c r="R4" s="5">
        <v>10560298900445.77</v>
      </c>
      <c r="S4" s="5">
        <v>9966590200860.832</v>
      </c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9">
        <v>2979297232143</v>
      </c>
      <c r="C5" s="19">
        <v>2927146258503</v>
      </c>
      <c r="D5" s="19">
        <v>2887927147651</v>
      </c>
      <c r="E5" s="19">
        <v>2184739283333</v>
      </c>
      <c r="F5" s="19">
        <v>1349429951299</v>
      </c>
      <c r="G5" s="19">
        <v>1366961492537</v>
      </c>
      <c r="H5" s="19">
        <v>1499000096931</v>
      </c>
      <c r="I5" s="19">
        <v>1229991785174</v>
      </c>
      <c r="J5" s="19">
        <v>1289915648604</v>
      </c>
      <c r="K5" s="19">
        <v>1417295277338</v>
      </c>
      <c r="L5" s="19">
        <v>1457045855162</v>
      </c>
      <c r="M5" s="19">
        <v>1741458509317</v>
      </c>
      <c r="N5" s="19">
        <v>973281951952</v>
      </c>
      <c r="O5" s="19">
        <v>1191006762048</v>
      </c>
      <c r="P5" s="5">
        <v>1370668490566.0381</v>
      </c>
      <c r="Q5" s="5">
        <v>1142124496951.219</v>
      </c>
      <c r="R5" s="5">
        <v>1296301263001.4861</v>
      </c>
      <c r="S5" s="5">
        <v>1052012410329.986</v>
      </c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9">
        <v>409296625000</v>
      </c>
      <c r="C6" s="19">
        <v>671137295918</v>
      </c>
      <c r="D6" s="19">
        <v>417496359060</v>
      </c>
      <c r="E6" s="19">
        <v>390399600000</v>
      </c>
      <c r="F6" s="19">
        <v>70624772727</v>
      </c>
      <c r="G6" s="19">
        <v>47900281924</v>
      </c>
      <c r="H6" s="19">
        <v>73296995153</v>
      </c>
      <c r="I6" s="19">
        <v>142554009077</v>
      </c>
      <c r="J6" s="19">
        <v>175804548440</v>
      </c>
      <c r="K6" s="19">
        <v>54720950872</v>
      </c>
      <c r="L6" s="19">
        <v>143608274268</v>
      </c>
      <c r="M6" s="19">
        <v>277259378882</v>
      </c>
      <c r="N6" s="19">
        <v>56026486486</v>
      </c>
      <c r="O6" s="19">
        <v>95256641566</v>
      </c>
      <c r="P6" s="5">
        <v>162569716981.13211</v>
      </c>
      <c r="Q6" s="5">
        <v>146141859756.0975</v>
      </c>
      <c r="R6" s="17">
        <v>184978038633</v>
      </c>
      <c r="S6" s="5">
        <v>331786255380.20093</v>
      </c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9">
        <v>11803092071429</v>
      </c>
      <c r="C7" s="19">
        <v>11364988384354</v>
      </c>
      <c r="D7" s="19">
        <v>11138182298658</v>
      </c>
      <c r="E7" s="19">
        <v>10153818500000</v>
      </c>
      <c r="F7" s="19">
        <v>9575570211039</v>
      </c>
      <c r="G7" s="19">
        <v>9921723548922</v>
      </c>
      <c r="H7" s="19">
        <v>9570979579968</v>
      </c>
      <c r="I7" s="19">
        <v>8849227080182</v>
      </c>
      <c r="J7" s="19">
        <v>9266104597701</v>
      </c>
      <c r="K7" s="19">
        <v>8790164072900</v>
      </c>
      <c r="L7" s="19">
        <v>8335133990755</v>
      </c>
      <c r="M7" s="19">
        <v>8302537375776</v>
      </c>
      <c r="N7" s="19">
        <v>7478349204204</v>
      </c>
      <c r="O7" s="19">
        <v>7212862966867</v>
      </c>
      <c r="P7" s="5">
        <v>7390895959119</v>
      </c>
      <c r="Q7" s="5">
        <v>7248177850609.7549</v>
      </c>
      <c r="R7" s="13">
        <v>6892214918276.375</v>
      </c>
      <c r="S7" s="5">
        <v>6491908593974.1758</v>
      </c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9">
        <v>1090018553571</v>
      </c>
      <c r="C8" s="19">
        <v>834453248299</v>
      </c>
      <c r="D8" s="19">
        <v>956825738255</v>
      </c>
      <c r="E8" s="19">
        <v>1852997600000</v>
      </c>
      <c r="F8" s="19">
        <v>1556383457792</v>
      </c>
      <c r="G8" s="19">
        <v>1315414726368</v>
      </c>
      <c r="H8" s="19">
        <v>1033713780291</v>
      </c>
      <c r="I8" s="19">
        <v>789302329803</v>
      </c>
      <c r="J8" s="19">
        <v>819519967159</v>
      </c>
      <c r="K8" s="19">
        <v>767365721078</v>
      </c>
      <c r="L8" s="19">
        <v>757654699538</v>
      </c>
      <c r="M8" s="19">
        <v>759932531056</v>
      </c>
      <c r="N8" s="19">
        <v>1956975885886</v>
      </c>
      <c r="O8" s="19">
        <v>1691064608434</v>
      </c>
      <c r="P8" s="5">
        <v>1503778443396</v>
      </c>
      <c r="Q8" s="5">
        <v>1221905746951.219</v>
      </c>
      <c r="R8" s="5">
        <v>959718053491.82776</v>
      </c>
      <c r="S8" s="5">
        <v>1468543529411.7649</v>
      </c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9">
        <v>7353328160714</v>
      </c>
      <c r="C9" s="19">
        <v>6663430374150</v>
      </c>
      <c r="D9" s="19">
        <v>6077018808725</v>
      </c>
      <c r="E9" s="19">
        <v>5721647966667</v>
      </c>
      <c r="F9" s="19">
        <v>4997574155844</v>
      </c>
      <c r="G9" s="19">
        <v>4693880281924</v>
      </c>
      <c r="H9" s="19">
        <v>4408820920840</v>
      </c>
      <c r="I9" s="19">
        <v>3915716959153</v>
      </c>
      <c r="J9" s="19">
        <v>4236824334975</v>
      </c>
      <c r="K9" s="19">
        <v>4090532551506</v>
      </c>
      <c r="L9" s="19">
        <v>4045221879815</v>
      </c>
      <c r="M9" s="19">
        <v>4028813990683</v>
      </c>
      <c r="N9" s="19">
        <v>3842490600601</v>
      </c>
      <c r="O9" s="19">
        <v>3811828644578</v>
      </c>
      <c r="P9" s="5">
        <v>3896822720126</v>
      </c>
      <c r="Q9" s="5">
        <v>3782433125000</v>
      </c>
      <c r="R9" s="13">
        <v>3670567132243.6851</v>
      </c>
      <c r="S9" s="5">
        <v>3475782496413.2002</v>
      </c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9">
        <v>1433061178571</v>
      </c>
      <c r="C10" s="19">
        <v>506688826531</v>
      </c>
      <c r="D10" s="19">
        <v>1708406359060</v>
      </c>
      <c r="E10" s="19">
        <v>1174628250000</v>
      </c>
      <c r="F10" s="19">
        <v>566102840909</v>
      </c>
      <c r="G10" s="19">
        <v>170563117745</v>
      </c>
      <c r="H10" s="19">
        <v>168944313409</v>
      </c>
      <c r="I10" s="19">
        <v>-58920756430</v>
      </c>
      <c r="J10" s="19">
        <v>-63835024631</v>
      </c>
      <c r="K10" s="19">
        <v>-66303692552</v>
      </c>
      <c r="L10" s="19">
        <v>224495208012</v>
      </c>
      <c r="M10" s="19">
        <v>169652484472</v>
      </c>
      <c r="N10" s="19">
        <v>109699054054</v>
      </c>
      <c r="O10" s="19">
        <v>73026460843</v>
      </c>
      <c r="P10" s="5">
        <v>228784339623</v>
      </c>
      <c r="Q10" s="5">
        <v>231810807926.82932</v>
      </c>
      <c r="R10" s="5">
        <v>210274992570.5795</v>
      </c>
      <c r="S10" s="5">
        <v>135587948350.0717</v>
      </c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9">
        <v>5755149375000</v>
      </c>
      <c r="C11" s="19">
        <v>2328361428571</v>
      </c>
      <c r="D11" s="19">
        <v>8326003741611</v>
      </c>
      <c r="E11" s="19">
        <v>5478341016667</v>
      </c>
      <c r="F11" s="19">
        <v>3125823311688</v>
      </c>
      <c r="G11" s="19">
        <v>1505426948590</v>
      </c>
      <c r="H11" s="19">
        <v>4646508513732</v>
      </c>
      <c r="I11" s="19">
        <v>3257286263238</v>
      </c>
      <c r="J11" s="19">
        <v>2345676732348</v>
      </c>
      <c r="K11" s="19">
        <v>903510570523</v>
      </c>
      <c r="L11" s="19">
        <v>3846390878274</v>
      </c>
      <c r="M11" s="19">
        <v>2675790916149</v>
      </c>
      <c r="N11" s="19">
        <v>1732177147147</v>
      </c>
      <c r="O11" s="19">
        <v>851079141566</v>
      </c>
      <c r="P11" s="5">
        <v>3403714968553</v>
      </c>
      <c r="Q11" s="5">
        <v>2525081006097.561</v>
      </c>
      <c r="R11" s="5">
        <v>1777560772659.7329</v>
      </c>
      <c r="S11" s="5">
        <v>1149631348637.0161</v>
      </c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9">
        <v>1645245910714</v>
      </c>
      <c r="C12" s="19">
        <v>827912023810</v>
      </c>
      <c r="D12" s="19">
        <v>879448909396</v>
      </c>
      <c r="E12" s="19">
        <v>1450888483333</v>
      </c>
      <c r="F12" s="19">
        <v>675487191558</v>
      </c>
      <c r="G12" s="19">
        <v>355914096186</v>
      </c>
      <c r="H12" s="19">
        <v>1454744103393</v>
      </c>
      <c r="I12" s="19">
        <v>1002810680787</v>
      </c>
      <c r="J12" s="19">
        <v>776953957307</v>
      </c>
      <c r="K12" s="19">
        <v>332297448494</v>
      </c>
      <c r="L12" s="19">
        <v>327001402157</v>
      </c>
      <c r="M12" s="19">
        <v>9790403727</v>
      </c>
      <c r="N12" s="19">
        <v>905774459459</v>
      </c>
      <c r="O12" s="19">
        <v>375205030120</v>
      </c>
      <c r="P12" s="5">
        <v>853635345912</v>
      </c>
      <c r="Q12" s="5">
        <v>560685746951.21948</v>
      </c>
      <c r="R12" s="5">
        <v>247243491827.63751</v>
      </c>
      <c r="S12" s="5">
        <v>522079942611.19092</v>
      </c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9">
        <v>25235000000</v>
      </c>
      <c r="C13" s="19">
        <v>25235000000</v>
      </c>
      <c r="D13" s="19">
        <v>25235000000</v>
      </c>
      <c r="E13" s="19">
        <v>24835000000</v>
      </c>
      <c r="F13" s="19">
        <v>24835000000</v>
      </c>
      <c r="G13" s="19">
        <v>24835000000</v>
      </c>
      <c r="H13" s="19">
        <v>24835000000</v>
      </c>
      <c r="I13" s="19">
        <v>24835000000</v>
      </c>
      <c r="J13" s="19">
        <v>24835000000</v>
      </c>
      <c r="K13" s="19">
        <v>24835000000</v>
      </c>
      <c r="L13" s="19">
        <v>24835000000</v>
      </c>
      <c r="M13" s="19">
        <v>24835000000</v>
      </c>
      <c r="N13" s="19">
        <v>24835000000</v>
      </c>
      <c r="O13" s="19">
        <v>24835000000</v>
      </c>
      <c r="P13" s="5">
        <v>24835000000</v>
      </c>
      <c r="Q13" s="5">
        <v>24835000000</v>
      </c>
      <c r="R13" s="5">
        <v>24835000000</v>
      </c>
      <c r="S13" s="5">
        <v>24835000000</v>
      </c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1320</v>
      </c>
      <c r="C14" s="4">
        <v>1110</v>
      </c>
      <c r="D14" s="4">
        <v>1315</v>
      </c>
      <c r="E14" s="4">
        <v>1190</v>
      </c>
      <c r="F14" s="4">
        <v>665</v>
      </c>
      <c r="G14" s="4">
        <v>545</v>
      </c>
      <c r="H14" s="5">
        <v>344</v>
      </c>
      <c r="I14" s="5">
        <v>270</v>
      </c>
      <c r="J14" s="5">
        <v>292</v>
      </c>
      <c r="K14" s="5">
        <v>240</v>
      </c>
      <c r="L14" s="5">
        <v>302</v>
      </c>
      <c r="M14" s="5">
        <v>354</v>
      </c>
      <c r="N14" s="5">
        <v>372</v>
      </c>
      <c r="O14" s="5">
        <v>334</v>
      </c>
      <c r="P14" s="5">
        <v>336</v>
      </c>
      <c r="Q14" s="5">
        <v>340</v>
      </c>
      <c r="R14" s="5">
        <v>366</v>
      </c>
      <c r="S14" s="5">
        <v>352</v>
      </c>
      <c r="T14" s="5">
        <v>394</v>
      </c>
      <c r="U14" s="7">
        <v>600</v>
      </c>
      <c r="V14" s="7">
        <v>590</v>
      </c>
      <c r="W14" s="4">
        <v>755</v>
      </c>
      <c r="X14" s="7">
        <v>570</v>
      </c>
      <c r="Y14" s="7">
        <v>570</v>
      </c>
      <c r="Z14" s="7">
        <v>1140</v>
      </c>
      <c r="AA14" s="7">
        <v>1140</v>
      </c>
    </row>
    <row r="15" spans="1:27" ht="14.25" customHeight="1" x14ac:dyDescent="0.2">
      <c r="A15" s="8" t="s">
        <v>41</v>
      </c>
      <c r="B15" s="6">
        <f t="shared" ref="B15:AA15" si="0">B9/B13</f>
        <v>291.3940226159699</v>
      </c>
      <c r="C15" s="6">
        <f t="shared" si="0"/>
        <v>264.05509705369525</v>
      </c>
      <c r="D15" s="6">
        <f t="shared" si="0"/>
        <v>240.81707187339012</v>
      </c>
      <c r="E15" s="6">
        <f t="shared" si="0"/>
        <v>230.38646936448561</v>
      </c>
      <c r="F15" s="6">
        <f t="shared" si="0"/>
        <v>201.23109143724582</v>
      </c>
      <c r="G15" s="6">
        <f t="shared" si="0"/>
        <v>189.00262862589088</v>
      </c>
      <c r="H15" s="6">
        <f t="shared" si="0"/>
        <v>177.52449852385746</v>
      </c>
      <c r="I15" s="6">
        <f t="shared" si="0"/>
        <v>157.66929571785786</v>
      </c>
      <c r="J15" s="6">
        <f t="shared" si="0"/>
        <v>170.59892631266359</v>
      </c>
      <c r="K15" s="6">
        <f t="shared" si="0"/>
        <v>164.70837735075497</v>
      </c>
      <c r="L15" s="6">
        <f t="shared" si="0"/>
        <v>162.88390899194684</v>
      </c>
      <c r="M15" s="6">
        <f t="shared" si="0"/>
        <v>162.22323296488827</v>
      </c>
      <c r="N15" s="6">
        <f t="shared" si="0"/>
        <v>154.72078117982684</v>
      </c>
      <c r="O15" s="6">
        <f t="shared" si="0"/>
        <v>153.48615440217435</v>
      </c>
      <c r="P15" s="6">
        <f t="shared" si="0"/>
        <v>156.90850493762835</v>
      </c>
      <c r="Q15" s="6">
        <f t="shared" si="0"/>
        <v>152.30252164284275</v>
      </c>
      <c r="R15" s="6">
        <f t="shared" si="0"/>
        <v>147.79815310020879</v>
      </c>
      <c r="S15" s="6">
        <f t="shared" si="0"/>
        <v>139.95500287550635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-8823794839286</v>
      </c>
      <c r="C16" s="6">
        <f t="shared" si="1"/>
        <v>-8437842125851</v>
      </c>
      <c r="D16" s="6">
        <f t="shared" si="1"/>
        <v>-8250255151007</v>
      </c>
      <c r="E16" s="6">
        <f t="shared" si="1"/>
        <v>-7969079216667</v>
      </c>
      <c r="F16" s="6">
        <f t="shared" si="1"/>
        <v>-8226140259740</v>
      </c>
      <c r="G16" s="6">
        <f t="shared" si="1"/>
        <v>-8554762056385</v>
      </c>
      <c r="H16" s="6">
        <f t="shared" si="1"/>
        <v>-8071979483037</v>
      </c>
      <c r="I16" s="6">
        <f t="shared" si="1"/>
        <v>-7619235295008</v>
      </c>
      <c r="J16" s="6">
        <f t="shared" si="1"/>
        <v>-7976188949097</v>
      </c>
      <c r="K16" s="6">
        <f t="shared" si="1"/>
        <v>-7372868795562</v>
      </c>
      <c r="L16" s="6">
        <f t="shared" si="1"/>
        <v>-6878088135593</v>
      </c>
      <c r="M16" s="6">
        <f t="shared" si="1"/>
        <v>-6561078866459</v>
      </c>
      <c r="N16" s="6">
        <f t="shared" si="1"/>
        <v>-6505067252252</v>
      </c>
      <c r="O16" s="6">
        <f t="shared" si="1"/>
        <v>-6021856204819</v>
      </c>
      <c r="P16" s="6">
        <f t="shared" si="1"/>
        <v>-6020227468552.9619</v>
      </c>
      <c r="Q16" s="6">
        <f t="shared" si="1"/>
        <v>-6106053353658.5361</v>
      </c>
      <c r="R16" s="6">
        <f t="shared" si="1"/>
        <v>-5595913655274.8887</v>
      </c>
      <c r="S16" s="6">
        <f t="shared" si="1"/>
        <v>-5439896183644.1895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7.4679456853070522E-2</v>
      </c>
      <c r="C17" s="10">
        <f t="shared" si="2"/>
        <v>2.8075320566827679E-2</v>
      </c>
      <c r="D17" s="10">
        <f t="shared" si="2"/>
        <v>9.916697583963191E-2</v>
      </c>
      <c r="E17" s="10">
        <f t="shared" si="2"/>
        <v>7.3939311758604048E-2</v>
      </c>
      <c r="F17" s="10">
        <f t="shared" si="2"/>
        <v>3.8825184858157696E-2</v>
      </c>
      <c r="G17" s="10">
        <f t="shared" si="2"/>
        <v>1.1666492154431704E-2</v>
      </c>
      <c r="H17" s="10">
        <f t="shared" si="2"/>
        <v>1.2084187026932456E-2</v>
      </c>
      <c r="I17" s="10">
        <f t="shared" si="2"/>
        <v>-4.6153493721762901E-3</v>
      </c>
      <c r="J17" s="10">
        <f t="shared" si="2"/>
        <v>-4.7274033786286378E-3</v>
      </c>
      <c r="K17" s="10">
        <f t="shared" si="2"/>
        <v>-5.1468799773032531E-3</v>
      </c>
      <c r="L17" s="10">
        <f t="shared" si="2"/>
        <v>1.8131033273926681E-2</v>
      </c>
      <c r="M17" s="10">
        <f t="shared" si="2"/>
        <v>1.3754144562090618E-2</v>
      </c>
      <c r="N17" s="10">
        <f t="shared" si="2"/>
        <v>9.6864092847988772E-3</v>
      </c>
      <c r="O17" s="10">
        <f t="shared" si="2"/>
        <v>6.6261634268716509E-3</v>
      </c>
      <c r="P17" s="10">
        <f t="shared" si="2"/>
        <v>2.0270759422696516E-2</v>
      </c>
      <c r="Q17" s="10">
        <f t="shared" si="2"/>
        <v>2.1019445677334225E-2</v>
      </c>
      <c r="R17" s="10">
        <f t="shared" si="2"/>
        <v>1.9911840995495252E-2</v>
      </c>
      <c r="S17" s="10">
        <f t="shared" si="2"/>
        <v>1.3604246348802496E-2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0.19488606345998455</v>
      </c>
      <c r="C18" s="10">
        <f t="shared" si="3"/>
        <v>7.604023724726533E-2</v>
      </c>
      <c r="D18" s="10">
        <f t="shared" si="3"/>
        <v>0.2811257316839596</v>
      </c>
      <c r="E18" s="10">
        <f t="shared" si="3"/>
        <v>0.20529544229968585</v>
      </c>
      <c r="F18" s="10">
        <f t="shared" si="3"/>
        <v>0.11327552593632209</v>
      </c>
      <c r="G18" s="10">
        <f t="shared" si="3"/>
        <v>3.6337338726305769E-2</v>
      </c>
      <c r="H18" s="10">
        <f t="shared" si="3"/>
        <v>3.8319613439144071E-2</v>
      </c>
      <c r="I18" s="10">
        <f t="shared" si="3"/>
        <v>-1.504724602023968E-2</v>
      </c>
      <c r="J18" s="10">
        <f t="shared" si="3"/>
        <v>-1.5066714969521309E-2</v>
      </c>
      <c r="K18" s="10">
        <f t="shared" si="3"/>
        <v>-1.6209061220546737E-2</v>
      </c>
      <c r="L18" s="10">
        <f t="shared" si="3"/>
        <v>5.5496389241884263E-2</v>
      </c>
      <c r="M18" s="10">
        <f t="shared" si="3"/>
        <v>4.2109783391424092E-2</v>
      </c>
      <c r="N18" s="10">
        <f t="shared" si="3"/>
        <v>2.85489453212565E-2</v>
      </c>
      <c r="O18" s="10">
        <f t="shared" si="3"/>
        <v>1.9157855101087477E-2</v>
      </c>
      <c r="P18" s="10">
        <f t="shared" si="3"/>
        <v>5.8710481860360965E-2</v>
      </c>
      <c r="Q18" s="10">
        <f t="shared" si="3"/>
        <v>6.1286161649409018E-2</v>
      </c>
      <c r="R18" s="10">
        <f t="shared" si="3"/>
        <v>5.7286785664112341E-2</v>
      </c>
      <c r="S18" s="10">
        <f t="shared" si="3"/>
        <v>3.9009330557936338E-2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4.529948789442523</v>
      </c>
      <c r="C19" s="11">
        <f t="shared" si="4"/>
        <v>4.2036681449640145</v>
      </c>
      <c r="D19" s="11">
        <f t="shared" si="4"/>
        <v>5.4605763194868633</v>
      </c>
      <c r="E19" s="11">
        <f t="shared" si="4"/>
        <v>5.1652338927827683</v>
      </c>
      <c r="F19" s="11">
        <f t="shared" si="4"/>
        <v>3.3046583172132777</v>
      </c>
      <c r="G19" s="11">
        <f t="shared" si="4"/>
        <v>2.8835577788643629</v>
      </c>
      <c r="H19" s="11">
        <f t="shared" si="4"/>
        <v>1.9377607195649673</v>
      </c>
      <c r="I19" s="11">
        <f t="shared" si="4"/>
        <v>1.7124450183576192</v>
      </c>
      <c r="J19" s="11">
        <f t="shared" si="4"/>
        <v>1.7116168683549609</v>
      </c>
      <c r="K19" s="11">
        <f t="shared" si="4"/>
        <v>1.4571207843843161</v>
      </c>
      <c r="L19" s="11">
        <f t="shared" si="4"/>
        <v>1.8540812402465809</v>
      </c>
      <c r="M19" s="11">
        <f t="shared" si="4"/>
        <v>2.1821781845305726</v>
      </c>
      <c r="N19" s="11">
        <f t="shared" si="4"/>
        <v>2.4043311904406472</v>
      </c>
      <c r="O19" s="11">
        <f t="shared" si="4"/>
        <v>2.1760920475265255</v>
      </c>
      <c r="P19" s="11">
        <f t="shared" si="4"/>
        <v>2.1413753201814085</v>
      </c>
      <c r="Q19" s="11">
        <f t="shared" si="4"/>
        <v>2.2323990196125414</v>
      </c>
      <c r="R19" s="11">
        <f t="shared" si="4"/>
        <v>2.4763502947959566</v>
      </c>
      <c r="S19" s="11">
        <f t="shared" si="4"/>
        <v>2.5150940857263477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23.244087899454371</v>
      </c>
      <c r="C20" s="11">
        <f t="shared" si="5"/>
        <v>55.282154516360258</v>
      </c>
      <c r="D20" s="11">
        <f t="shared" si="5"/>
        <v>19.423964810256575</v>
      </c>
      <c r="E20" s="11">
        <f t="shared" si="5"/>
        <v>25.160002749806161</v>
      </c>
      <c r="F20" s="11">
        <f t="shared" si="5"/>
        <v>29.173630313321112</v>
      </c>
      <c r="G20" s="11">
        <f t="shared" si="5"/>
        <v>79.35522743102986</v>
      </c>
      <c r="H20" s="11">
        <f t="shared" si="5"/>
        <v>50.568378583524932</v>
      </c>
      <c r="I20" s="11">
        <f t="shared" si="5"/>
        <v>-113.804547094814</v>
      </c>
      <c r="J20" s="11">
        <f t="shared" si="5"/>
        <v>-113.60252528951516</v>
      </c>
      <c r="K20" s="11">
        <f t="shared" si="5"/>
        <v>-89.895445797765134</v>
      </c>
      <c r="L20" s="11">
        <f t="shared" si="5"/>
        <v>33.40904274268113</v>
      </c>
      <c r="M20" s="11">
        <f t="shared" si="5"/>
        <v>51.821168592735773</v>
      </c>
      <c r="N20" s="11">
        <f t="shared" si="5"/>
        <v>84.21786386099771</v>
      </c>
      <c r="O20" s="11">
        <f t="shared" si="5"/>
        <v>113.58745726200851</v>
      </c>
      <c r="P20" s="11">
        <f t="shared" si="5"/>
        <v>36.473475473673155</v>
      </c>
      <c r="Q20" s="11">
        <f t="shared" si="5"/>
        <v>36.425825333671682</v>
      </c>
      <c r="R20" s="11">
        <f t="shared" si="5"/>
        <v>43.227251557024985</v>
      </c>
      <c r="S20" s="11">
        <f t="shared" si="5"/>
        <v>64.474166814807305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56.788633983396075</v>
      </c>
      <c r="C21" s="6">
        <f t="shared" si="6"/>
        <v>20.07881222631266</v>
      </c>
      <c r="D21" s="6">
        <f t="shared" si="6"/>
        <v>67.699875532395481</v>
      </c>
      <c r="E21" s="6">
        <f t="shared" si="6"/>
        <v>47.2972921280451</v>
      </c>
      <c r="F21" s="6">
        <f t="shared" si="6"/>
        <v>22.79455771729414</v>
      </c>
      <c r="G21" s="6">
        <f t="shared" si="6"/>
        <v>6.8678525365411716</v>
      </c>
      <c r="H21" s="6">
        <f t="shared" si="6"/>
        <v>6.8026701594121199</v>
      </c>
      <c r="I21" s="6">
        <f t="shared" si="6"/>
        <v>-2.3724886825045299</v>
      </c>
      <c r="J21" s="6">
        <f t="shared" si="6"/>
        <v>-2.570365396859271</v>
      </c>
      <c r="K21" s="6">
        <f t="shared" si="6"/>
        <v>-2.669768172015301</v>
      </c>
      <c r="L21" s="6">
        <f t="shared" si="6"/>
        <v>9.0394688146567344</v>
      </c>
      <c r="M21" s="6">
        <f t="shared" si="6"/>
        <v>6.8311852012079726</v>
      </c>
      <c r="N21" s="6">
        <f t="shared" si="6"/>
        <v>4.4171151219649687</v>
      </c>
      <c r="O21" s="6">
        <f t="shared" si="6"/>
        <v>2.9404655060599958</v>
      </c>
      <c r="P21" s="6">
        <f t="shared" si="6"/>
        <v>9.212173932876988</v>
      </c>
      <c r="Q21" s="6">
        <f t="shared" si="6"/>
        <v>9.3340369610158778</v>
      </c>
      <c r="R21" s="6">
        <f t="shared" si="6"/>
        <v>8.4668811182033217</v>
      </c>
      <c r="S21" s="6">
        <f t="shared" si="6"/>
        <v>5.459550970407558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1.605136043633735</v>
      </c>
      <c r="C22" s="10">
        <f t="shared" si="7"/>
        <v>1.7055762191863135</v>
      </c>
      <c r="D22" s="10">
        <f t="shared" si="7"/>
        <v>1.8328365682637844</v>
      </c>
      <c r="E22" s="10">
        <f t="shared" si="7"/>
        <v>1.7746318122250446</v>
      </c>
      <c r="F22" s="10">
        <f t="shared" si="7"/>
        <v>1.9160436468644775</v>
      </c>
      <c r="G22" s="10">
        <f t="shared" si="7"/>
        <v>2.1137572654186081</v>
      </c>
      <c r="H22" s="10">
        <f t="shared" si="7"/>
        <v>2.1708705687561629</v>
      </c>
      <c r="I22" s="10">
        <f t="shared" si="7"/>
        <v>2.2599251101377247</v>
      </c>
      <c r="J22" s="10">
        <f t="shared" si="7"/>
        <v>2.1870400717842546</v>
      </c>
      <c r="K22" s="10">
        <f t="shared" si="7"/>
        <v>2.1489045649236429</v>
      </c>
      <c r="L22" s="10">
        <f t="shared" si="7"/>
        <v>2.0604887045494253</v>
      </c>
      <c r="M22" s="10">
        <f t="shared" si="7"/>
        <v>2.0607894519271368</v>
      </c>
      <c r="N22" s="10">
        <f t="shared" si="7"/>
        <v>1.9462244626009806</v>
      </c>
      <c r="O22" s="10">
        <f t="shared" si="7"/>
        <v>1.8922316922946367</v>
      </c>
      <c r="P22" s="10">
        <f t="shared" si="7"/>
        <v>1.8966467016698216</v>
      </c>
      <c r="Q22" s="10">
        <f t="shared" si="7"/>
        <v>1.9162738933050547</v>
      </c>
      <c r="R22" s="10">
        <f t="shared" si="7"/>
        <v>1.8776975518939529</v>
      </c>
      <c r="S22" s="10">
        <f t="shared" si="7"/>
        <v>1.8677545561822231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/>
    <row r="25" spans="1:27" ht="14.25" customHeight="1" x14ac:dyDescent="0.2"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27" ht="14.25" customHeight="1" x14ac:dyDescent="0.2"/>
    <row r="27" spans="1:27" ht="14.25" customHeight="1" x14ac:dyDescent="0.2"/>
    <row r="28" spans="1:27" ht="14.25" customHeight="1" x14ac:dyDescent="0.2"/>
    <row r="29" spans="1:27" ht="14.25" customHeight="1" x14ac:dyDescent="0.2"/>
    <row r="30" spans="1:27" ht="14.25" customHeight="1" x14ac:dyDescent="0.2"/>
    <row r="31" spans="1:27" ht="14.25" customHeight="1" x14ac:dyDescent="0.2"/>
    <row r="32" spans="1:2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D2" sqref="D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7" width="15.6640625" bestFit="1" customWidth="1"/>
    <col min="8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5">
        <v>6.0900000000000003E-2</v>
      </c>
      <c r="B2">
        <f>1000/A2</f>
        <v>16420.361247947454</v>
      </c>
      <c r="C2" s="16">
        <v>822344253</v>
      </c>
      <c r="D2" s="13">
        <f>B2*C2</f>
        <v>13503189704433.496</v>
      </c>
      <c r="F2" s="13">
        <v>939896509146.34131</v>
      </c>
      <c r="G2" s="13">
        <v>282009237804.87799</v>
      </c>
      <c r="H2" s="14">
        <f>F2+G2</f>
        <v>1221905746951.2192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2026-09-15T11:16:34Z</dcterms:modified>
</cp:coreProperties>
</file>