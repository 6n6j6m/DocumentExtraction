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8_{28F611F0-C951-8544-BE6B-D57EF0C34737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lokasi kebu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1H/Q4ZdR4yLnEJr0IZqFh3FObkfqorOjDyrNKq9VL8="/>
    </ext>
  </extLst>
</workbook>
</file>

<file path=xl/calcChain.xml><?xml version="1.0" encoding="utf-8"?>
<calcChain xmlns="http://schemas.openxmlformats.org/spreadsheetml/2006/main">
  <c r="AA22" i="1" l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X20" i="1" s="1"/>
  <c r="W21" i="1"/>
  <c r="W20" i="1" s="1"/>
  <c r="V21" i="1"/>
  <c r="V20" i="1" s="1"/>
  <c r="U21" i="1"/>
  <c r="U20" i="1" s="1"/>
  <c r="T21" i="1"/>
  <c r="S21" i="1"/>
  <c r="R21" i="1"/>
  <c r="Q21" i="1"/>
  <c r="P21" i="1"/>
  <c r="O21" i="1"/>
  <c r="N21" i="1"/>
  <c r="N20" i="1" s="1"/>
  <c r="M21" i="1"/>
  <c r="M20" i="1" s="1"/>
  <c r="L21" i="1"/>
  <c r="L20" i="1" s="1"/>
  <c r="K21" i="1"/>
  <c r="K20" i="1" s="1"/>
  <c r="J21" i="1"/>
  <c r="I21" i="1"/>
  <c r="H21" i="1"/>
  <c r="G21" i="1"/>
  <c r="F21" i="1"/>
  <c r="E21" i="1"/>
  <c r="D21" i="1"/>
  <c r="D20" i="1" s="1"/>
  <c r="C21" i="1"/>
  <c r="C20" i="1" s="1"/>
  <c r="B21" i="1"/>
  <c r="B20" i="1" s="1"/>
  <c r="AA20" i="1"/>
  <c r="Z20" i="1"/>
  <c r="Y20" i="1"/>
  <c r="T20" i="1"/>
  <c r="S20" i="1"/>
  <c r="R20" i="1"/>
  <c r="Q20" i="1"/>
  <c r="P20" i="1"/>
  <c r="O20" i="1"/>
  <c r="J20" i="1"/>
  <c r="I20" i="1"/>
  <c r="H20" i="1"/>
  <c r="G20" i="1"/>
  <c r="F20" i="1"/>
  <c r="E20" i="1"/>
  <c r="Y19" i="1"/>
  <c r="X19" i="1"/>
  <c r="W19" i="1"/>
  <c r="V19" i="1"/>
  <c r="U19" i="1"/>
  <c r="O19" i="1"/>
  <c r="N19" i="1"/>
  <c r="M19" i="1"/>
  <c r="L19" i="1"/>
  <c r="K19" i="1"/>
  <c r="E19" i="1"/>
  <c r="D19" i="1"/>
  <c r="C19" i="1"/>
  <c r="B19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X15" i="1"/>
  <c r="W15" i="1"/>
  <c r="V15" i="1"/>
  <c r="U15" i="1"/>
  <c r="T15" i="1"/>
  <c r="T19" i="1" s="1"/>
  <c r="S15" i="1"/>
  <c r="S19" i="1" s="1"/>
  <c r="R15" i="1"/>
  <c r="R19" i="1" s="1"/>
  <c r="Q15" i="1"/>
  <c r="Q19" i="1" s="1"/>
  <c r="P15" i="1"/>
  <c r="P19" i="1" s="1"/>
  <c r="O15" i="1"/>
  <c r="N15" i="1"/>
  <c r="M15" i="1"/>
  <c r="L15" i="1"/>
  <c r="K15" i="1"/>
  <c r="J15" i="1"/>
  <c r="J19" i="1" s="1"/>
  <c r="I15" i="1"/>
  <c r="I19" i="1" s="1"/>
  <c r="H15" i="1"/>
  <c r="H19" i="1" s="1"/>
  <c r="G15" i="1"/>
  <c r="G19" i="1" s="1"/>
  <c r="F15" i="1"/>
  <c r="F19" i="1" s="1"/>
  <c r="E15" i="1"/>
  <c r="D15" i="1"/>
  <c r="C15" i="1"/>
  <c r="B15" i="1"/>
  <c r="I8" i="1"/>
  <c r="H8" i="1"/>
</calcChain>
</file>

<file path=xl/sharedStrings.xml><?xml version="1.0" encoding="utf-8"?>
<sst xmlns="http://schemas.openxmlformats.org/spreadsheetml/2006/main" count="80" uniqueCount="67">
  <si>
    <t>Perusahaan</t>
  </si>
  <si>
    <t>(HANYA YANG BISA DIATRIBUSIKAN KE ENTITAS INDUK SAJA)</t>
  </si>
  <si>
    <t xml:space="preserve">Lokasi </t>
  </si>
  <si>
    <t>Luasan</t>
  </si>
  <si>
    <t>PT Cipta Davia Mandiri</t>
  </si>
  <si>
    <t>TLDN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</si>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</sst>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_ "/>
  </numFmts>
  <fonts count="4" x14ac:knownFonts="1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Tahoma"/>
    </font>
    <font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4" fontId="1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3" fontId="1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B1" activePane="topRight" state="frozen"/>
      <selection pane="topRight" activeCell="C2" sqref="C2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7.6640625" customWidth="1"/>
    <col min="9" max="9" width="19.5" customWidth="1"/>
    <col min="10" max="10" width="17.5" customWidth="1"/>
    <col min="11" max="11" width="17.1640625" customWidth="1"/>
    <col min="12" max="27" width="8.6640625" customWidth="1"/>
  </cols>
  <sheetData>
    <row r="1" spans="1:27" ht="14.25" customHeight="1" x14ac:dyDescent="0.2">
      <c r="A1" s="2" t="s">
        <v>1</v>
      </c>
      <c r="D1" s="4" t="s">
        <v>5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20</v>
      </c>
      <c r="D2" s="4"/>
      <c r="E2" s="2"/>
      <c r="F2" s="2" t="s">
        <v>21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22</v>
      </c>
      <c r="C3" s="1" t="s">
        <v>23</v>
      </c>
      <c r="D3" s="1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  <c r="J3" s="2" t="s">
        <v>30</v>
      </c>
      <c r="K3" s="2" t="s">
        <v>31</v>
      </c>
      <c r="L3" s="2" t="s">
        <v>32</v>
      </c>
      <c r="M3" s="2" t="s">
        <v>33</v>
      </c>
      <c r="N3" s="2" t="s">
        <v>34</v>
      </c>
      <c r="O3" s="2" t="s">
        <v>35</v>
      </c>
      <c r="P3" s="2" t="s">
        <v>36</v>
      </c>
      <c r="Q3" s="2" t="s">
        <v>37</v>
      </c>
      <c r="R3" s="6" t="s">
        <v>38</v>
      </c>
      <c r="S3" s="6" t="s">
        <v>39</v>
      </c>
      <c r="T3" s="6" t="s">
        <v>40</v>
      </c>
      <c r="U3" s="6" t="s">
        <v>41</v>
      </c>
      <c r="V3" s="6" t="s">
        <v>42</v>
      </c>
      <c r="W3" s="6" t="s">
        <v>43</v>
      </c>
      <c r="X3" s="6" t="s">
        <v>44</v>
      </c>
      <c r="Y3" s="6" t="s">
        <v>45</v>
      </c>
      <c r="Z3" s="6" t="s">
        <v>46</v>
      </c>
      <c r="AA3" s="6" t="s">
        <v>47</v>
      </c>
    </row>
    <row r="4" spans="1:27" ht="14.25" customHeight="1" x14ac:dyDescent="0.2">
      <c r="A4" s="2" t="s">
        <v>48</v>
      </c>
      <c r="B4" s="7">
        <v>6342799138000</v>
      </c>
      <c r="C4" s="7">
        <v>6287074631000</v>
      </c>
      <c r="D4" s="7">
        <v>6018032137000</v>
      </c>
      <c r="E4" s="7">
        <v>6207108405000</v>
      </c>
      <c r="F4" s="7">
        <v>5922715715000</v>
      </c>
      <c r="G4" s="7">
        <v>5976239681000</v>
      </c>
      <c r="H4" s="7">
        <v>5664445219000</v>
      </c>
      <c r="I4" s="7">
        <v>5436056871000</v>
      </c>
      <c r="J4" s="7">
        <v>5171540190000</v>
      </c>
      <c r="K4" s="8"/>
      <c r="L4" s="8"/>
      <c r="M4" s="5"/>
      <c r="N4" s="8"/>
      <c r="O4" s="8"/>
      <c r="P4" s="8"/>
      <c r="Q4" s="5"/>
      <c r="R4" s="5"/>
      <c r="S4" s="5"/>
      <c r="T4" s="5"/>
      <c r="U4" s="9"/>
      <c r="V4" s="9"/>
      <c r="W4" s="9"/>
      <c r="X4" s="9"/>
      <c r="Y4" s="9"/>
      <c r="Z4" s="9"/>
      <c r="AA4" s="9"/>
    </row>
    <row r="5" spans="1:27" ht="14.25" customHeight="1" x14ac:dyDescent="0.2">
      <c r="A5" s="2" t="s">
        <v>49</v>
      </c>
      <c r="B5" s="7">
        <v>1914357059000</v>
      </c>
      <c r="C5" s="7">
        <v>1952459070000</v>
      </c>
      <c r="D5" s="7">
        <v>1588829853000</v>
      </c>
      <c r="E5" s="7">
        <v>1819609212000</v>
      </c>
      <c r="F5" s="7">
        <v>1684520584000</v>
      </c>
      <c r="G5" s="7">
        <v>2073151943000</v>
      </c>
      <c r="H5" s="7">
        <v>1766579819000</v>
      </c>
      <c r="I5" s="7">
        <v>1702439782000</v>
      </c>
      <c r="J5" s="7">
        <v>1596650258000</v>
      </c>
      <c r="K5" s="6"/>
      <c r="L5" s="6"/>
      <c r="M5" s="5"/>
      <c r="N5" s="6"/>
      <c r="O5" s="6"/>
      <c r="P5" s="6"/>
      <c r="Q5" s="5"/>
      <c r="R5" s="5"/>
      <c r="S5" s="5"/>
      <c r="T5" s="5"/>
      <c r="U5" s="9"/>
      <c r="V5" s="9"/>
      <c r="W5" s="9"/>
      <c r="X5" s="9"/>
      <c r="Y5" s="9"/>
      <c r="Z5" s="9"/>
      <c r="AA5" s="9"/>
    </row>
    <row r="6" spans="1:27" ht="14.25" customHeight="1" x14ac:dyDescent="0.2">
      <c r="A6" s="2" t="s">
        <v>50</v>
      </c>
      <c r="B6" s="7">
        <v>258018162000</v>
      </c>
      <c r="C6" s="7">
        <v>695168978000</v>
      </c>
      <c r="D6" s="7">
        <v>334385754000</v>
      </c>
      <c r="E6" s="7">
        <v>453355101000</v>
      </c>
      <c r="F6" s="7">
        <v>276683736000</v>
      </c>
      <c r="G6" s="7">
        <v>821851671000</v>
      </c>
      <c r="H6" s="7">
        <v>486587666000</v>
      </c>
      <c r="I6" s="7">
        <v>506251051000</v>
      </c>
      <c r="J6" s="7">
        <v>380517170000</v>
      </c>
      <c r="K6" s="8"/>
      <c r="L6" s="8"/>
      <c r="M6" s="5"/>
      <c r="N6" s="6"/>
      <c r="O6" s="8"/>
      <c r="P6" s="8"/>
      <c r="Q6" s="5"/>
      <c r="R6" s="5"/>
      <c r="S6" s="5"/>
      <c r="T6" s="5"/>
      <c r="U6" s="9"/>
      <c r="V6" s="9"/>
      <c r="W6" s="9"/>
      <c r="X6" s="9"/>
      <c r="Y6" s="9"/>
      <c r="Z6" s="9"/>
      <c r="AA6" s="9"/>
    </row>
    <row r="7" spans="1:27" ht="14.25" customHeight="1" x14ac:dyDescent="0.2">
      <c r="A7" s="2" t="s">
        <v>51</v>
      </c>
      <c r="B7" s="7">
        <v>2651152175000</v>
      </c>
      <c r="C7" s="7">
        <v>2460394233000</v>
      </c>
      <c r="D7" s="7">
        <v>2373123326000</v>
      </c>
      <c r="E7" s="7">
        <v>2631574846000</v>
      </c>
      <c r="F7" s="7">
        <v>2615212576000</v>
      </c>
      <c r="G7" s="7">
        <v>2612501553000</v>
      </c>
      <c r="H7" s="7">
        <v>2519627219000</v>
      </c>
      <c r="I7" s="7">
        <v>3196613547000</v>
      </c>
      <c r="J7" s="10">
        <v>3102894029000</v>
      </c>
      <c r="K7" s="8"/>
      <c r="L7" s="8"/>
      <c r="M7" s="5"/>
      <c r="N7" s="8"/>
      <c r="O7" s="8"/>
      <c r="P7" s="8"/>
      <c r="Q7" s="5"/>
      <c r="R7" s="5"/>
      <c r="S7" s="5"/>
      <c r="T7" s="5"/>
      <c r="U7" s="9"/>
      <c r="V7" s="9"/>
      <c r="W7" s="9"/>
      <c r="X7" s="9"/>
      <c r="Y7" s="9"/>
      <c r="Z7" s="9"/>
      <c r="AA7" s="9"/>
    </row>
    <row r="8" spans="1:27" ht="14.25" customHeight="1" x14ac:dyDescent="0.2">
      <c r="A8" s="2" t="s">
        <v>52</v>
      </c>
      <c r="B8" s="7">
        <v>124347189000</v>
      </c>
      <c r="C8" s="7">
        <v>165863709000</v>
      </c>
      <c r="D8" s="7">
        <v>190767674000</v>
      </c>
      <c r="E8" s="7">
        <v>141500000000</v>
      </c>
      <c r="F8" s="7">
        <v>122902518000</v>
      </c>
      <c r="G8" s="7">
        <v>290757191000</v>
      </c>
      <c r="H8" s="5">
        <f>20000000000+337603441000</f>
        <v>357603441000</v>
      </c>
      <c r="I8" s="5">
        <f>441100000000</f>
        <v>441100000000</v>
      </c>
      <c r="J8" s="10">
        <v>469775000000</v>
      </c>
      <c r="K8" s="8"/>
      <c r="L8" s="8"/>
      <c r="M8" s="8"/>
      <c r="N8" s="8"/>
      <c r="O8" s="8"/>
      <c r="P8" s="8"/>
      <c r="Q8" s="5"/>
      <c r="R8" s="5"/>
      <c r="S8" s="5"/>
      <c r="T8" s="5"/>
      <c r="U8" s="9"/>
      <c r="V8" s="9"/>
      <c r="W8" s="9"/>
      <c r="X8" s="9"/>
      <c r="Y8" s="9"/>
      <c r="Z8" s="9"/>
      <c r="AA8" s="9"/>
    </row>
    <row r="9" spans="1:27" ht="14.25" customHeight="1" x14ac:dyDescent="0.2">
      <c r="A9" s="2" t="s">
        <v>53</v>
      </c>
      <c r="B9" s="7">
        <v>3691598827000</v>
      </c>
      <c r="C9" s="7">
        <v>3826634977000</v>
      </c>
      <c r="D9" s="7">
        <v>3644864762000</v>
      </c>
      <c r="E9" s="7">
        <v>3575485566000</v>
      </c>
      <c r="F9" s="7">
        <v>3307456949000</v>
      </c>
      <c r="G9" s="7">
        <v>3363694421000</v>
      </c>
      <c r="H9" s="7">
        <v>3144775624000</v>
      </c>
      <c r="I9" s="7">
        <v>2239409582000</v>
      </c>
      <c r="J9" s="10">
        <v>2068614365000</v>
      </c>
      <c r="K9" s="8"/>
      <c r="L9" s="8"/>
      <c r="M9" s="5"/>
      <c r="N9" s="8"/>
      <c r="O9" s="8"/>
      <c r="P9" s="8"/>
      <c r="Q9" s="5"/>
      <c r="R9" s="5"/>
      <c r="S9" s="5"/>
      <c r="T9" s="5"/>
      <c r="U9" s="9"/>
      <c r="V9" s="9"/>
      <c r="W9" s="9"/>
      <c r="X9" s="9"/>
      <c r="Y9" s="9"/>
      <c r="Z9" s="9"/>
      <c r="AA9" s="9"/>
    </row>
    <row r="10" spans="1:27" ht="14.25" customHeight="1" x14ac:dyDescent="0.2">
      <c r="A10" s="2" t="s">
        <v>54</v>
      </c>
      <c r="B10" s="7">
        <v>543642277000</v>
      </c>
      <c r="C10" s="7">
        <v>181770215000</v>
      </c>
      <c r="D10" s="7">
        <v>1106606494000</v>
      </c>
      <c r="E10" s="7">
        <v>829300009000</v>
      </c>
      <c r="F10" s="7">
        <v>561271392000</v>
      </c>
      <c r="G10" s="7">
        <v>218918797000</v>
      </c>
      <c r="H10" s="7">
        <v>825587405000</v>
      </c>
      <c r="I10" s="7">
        <v>234190360000</v>
      </c>
      <c r="J10" s="10">
        <v>63395143000</v>
      </c>
      <c r="K10" s="8"/>
      <c r="L10" s="5"/>
      <c r="M10" s="8"/>
      <c r="N10" s="8"/>
      <c r="O10" s="8"/>
      <c r="P10" s="8"/>
      <c r="Q10" s="5"/>
      <c r="R10" s="5"/>
      <c r="S10" s="5"/>
      <c r="T10" s="5"/>
      <c r="U10" s="9"/>
      <c r="V10" s="9"/>
      <c r="W10" s="9"/>
      <c r="X10" s="9"/>
      <c r="Y10" s="9"/>
      <c r="Z10" s="9"/>
      <c r="AA10" s="9"/>
    </row>
    <row r="11" spans="1:27" ht="14.25" customHeight="1" x14ac:dyDescent="0.2">
      <c r="A11" s="6" t="s">
        <v>55</v>
      </c>
      <c r="B11" s="7">
        <v>2968533550000</v>
      </c>
      <c r="C11" s="7">
        <v>1587018948000</v>
      </c>
      <c r="D11" s="7">
        <v>5330133466000</v>
      </c>
      <c r="E11" s="7">
        <v>4028946553000</v>
      </c>
      <c r="F11" s="7">
        <v>2691885302000</v>
      </c>
      <c r="G11" s="7">
        <v>1457165917000</v>
      </c>
      <c r="H11" s="7">
        <v>4211481582000</v>
      </c>
      <c r="I11" s="7">
        <v>2885430562000</v>
      </c>
      <c r="J11" s="7">
        <v>1915665661000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9"/>
      <c r="V11" s="9"/>
      <c r="W11" s="9"/>
      <c r="X11" s="9"/>
      <c r="Y11" s="9"/>
      <c r="Z11" s="9"/>
      <c r="AA11" s="9"/>
    </row>
    <row r="12" spans="1:27" ht="14.25" customHeight="1" x14ac:dyDescent="0.2">
      <c r="A12" s="2" t="s">
        <v>56</v>
      </c>
      <c r="B12" s="7">
        <v>851671746000</v>
      </c>
      <c r="C12" s="7">
        <v>545153215000</v>
      </c>
      <c r="D12" s="7">
        <v>1544117069000</v>
      </c>
      <c r="E12" s="7">
        <v>1670634109000</v>
      </c>
      <c r="F12" s="7">
        <v>1199712765000</v>
      </c>
      <c r="G12" s="7">
        <v>612102984000</v>
      </c>
      <c r="H12" s="7">
        <v>1140257076000</v>
      </c>
      <c r="I12" s="7">
        <v>947753157000</v>
      </c>
      <c r="J12" s="10">
        <v>1901117155000</v>
      </c>
      <c r="K12" s="8"/>
      <c r="L12" s="8"/>
      <c r="M12" s="8"/>
      <c r="N12" s="8"/>
      <c r="O12" s="8"/>
      <c r="P12" s="8"/>
      <c r="Q12" s="5"/>
      <c r="R12" s="5"/>
      <c r="S12" s="5"/>
      <c r="T12" s="5"/>
      <c r="U12" s="9"/>
      <c r="V12" s="9"/>
      <c r="W12" s="9"/>
      <c r="X12" s="9"/>
      <c r="Y12" s="9"/>
      <c r="Z12" s="9"/>
      <c r="AA12" s="9"/>
    </row>
    <row r="13" spans="1:27" ht="14.25" customHeight="1" x14ac:dyDescent="0.2">
      <c r="A13" s="2" t="s">
        <v>57</v>
      </c>
      <c r="B13" s="7">
        <v>12946530200</v>
      </c>
      <c r="C13" s="7">
        <v>12946530200</v>
      </c>
      <c r="D13" s="7">
        <v>12946530200</v>
      </c>
      <c r="E13" s="7">
        <v>12946530200</v>
      </c>
      <c r="F13" s="7">
        <v>12946530200</v>
      </c>
      <c r="G13" s="7">
        <v>12946530200</v>
      </c>
      <c r="H13" s="7">
        <v>12946530200</v>
      </c>
      <c r="I13" s="7">
        <v>12946530200</v>
      </c>
      <c r="J13" s="7">
        <v>12946530200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9"/>
      <c r="V13" s="9"/>
      <c r="W13" s="9"/>
      <c r="X13" s="9"/>
      <c r="Y13" s="9"/>
      <c r="Z13" s="9"/>
      <c r="AA13" s="9"/>
    </row>
    <row r="14" spans="1:27" ht="14.25" customHeight="1" x14ac:dyDescent="0.2">
      <c r="A14" s="2" t="s">
        <v>58</v>
      </c>
      <c r="B14" s="4">
        <v>555</v>
      </c>
      <c r="C14" s="4">
        <v>472</v>
      </c>
      <c r="D14" s="4">
        <v>600</v>
      </c>
      <c r="E14" s="4">
        <v>715</v>
      </c>
      <c r="F14" s="4">
        <v>630</v>
      </c>
      <c r="G14" s="4">
        <v>580</v>
      </c>
      <c r="H14" s="5">
        <v>585</v>
      </c>
      <c r="I14" s="5">
        <v>520</v>
      </c>
      <c r="J14" s="5">
        <v>462</v>
      </c>
      <c r="K14" s="5">
        <v>444</v>
      </c>
      <c r="L14" s="5">
        <v>448</v>
      </c>
      <c r="M14" s="5">
        <v>454</v>
      </c>
      <c r="N14" s="5">
        <v>458</v>
      </c>
      <c r="O14" s="5">
        <v>454</v>
      </c>
      <c r="P14" s="5">
        <v>468</v>
      </c>
      <c r="Q14" s="5">
        <v>580</v>
      </c>
      <c r="R14" s="5">
        <v>610</v>
      </c>
      <c r="S14" s="5">
        <v>650</v>
      </c>
      <c r="T14" s="5">
        <v>725</v>
      </c>
      <c r="U14" s="9">
        <v>570</v>
      </c>
      <c r="V14" s="9">
        <v>570</v>
      </c>
      <c r="W14" s="4">
        <v>570</v>
      </c>
      <c r="X14" s="9">
        <v>570</v>
      </c>
      <c r="Y14" s="9">
        <v>570</v>
      </c>
      <c r="Z14" s="9">
        <v>1140</v>
      </c>
      <c r="AA14" s="9">
        <v>1140</v>
      </c>
    </row>
    <row r="15" spans="1:27" ht="14.25" customHeight="1" x14ac:dyDescent="0.2">
      <c r="A15" s="11" t="s">
        <v>59</v>
      </c>
      <c r="B15" s="6">
        <f t="shared" ref="B15:AA15" si="0">B9/B13</f>
        <v>285.14194691331272</v>
      </c>
      <c r="C15" s="6">
        <f t="shared" si="0"/>
        <v>295.5722435189623</v>
      </c>
      <c r="D15" s="6">
        <f t="shared" si="0"/>
        <v>281.53217160842058</v>
      </c>
      <c r="E15" s="6">
        <f t="shared" si="0"/>
        <v>276.17326888095471</v>
      </c>
      <c r="F15" s="6">
        <f t="shared" si="0"/>
        <v>255.47053132429258</v>
      </c>
      <c r="G15" s="6">
        <f t="shared" si="0"/>
        <v>259.81435713176649</v>
      </c>
      <c r="H15" s="6">
        <f t="shared" si="0"/>
        <v>242.90490003259714</v>
      </c>
      <c r="I15" s="6">
        <f t="shared" si="0"/>
        <v>172.97372712265405</v>
      </c>
      <c r="J15" s="6">
        <f t="shared" si="0"/>
        <v>159.78137254103805</v>
      </c>
      <c r="K15" s="6" t="e">
        <f t="shared" si="0"/>
        <v>#DIV/0!</v>
      </c>
      <c r="L15" s="6" t="e">
        <f t="shared" si="0"/>
        <v>#DIV/0!</v>
      </c>
      <c r="M15" s="6" t="e">
        <f t="shared" si="0"/>
        <v>#DIV/0!</v>
      </c>
      <c r="N15" s="6" t="e">
        <f t="shared" si="0"/>
        <v>#DIV/0!</v>
      </c>
      <c r="O15" s="6" t="e">
        <f t="shared" si="0"/>
        <v>#DIV/0!</v>
      </c>
      <c r="P15" s="6" t="e">
        <f t="shared" si="0"/>
        <v>#DIV/0!</v>
      </c>
      <c r="Q15" s="6" t="e">
        <f t="shared" si="0"/>
        <v>#DIV/0!</v>
      </c>
      <c r="R15" s="6" t="e">
        <f t="shared" si="0"/>
        <v>#DIV/0!</v>
      </c>
      <c r="S15" s="6" t="e">
        <f t="shared" si="0"/>
        <v>#DIV/0!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12" t="e">
        <f t="shared" si="0"/>
        <v>#DIV/0!</v>
      </c>
      <c r="Y15" s="12" t="e">
        <f t="shared" si="0"/>
        <v>#DIV/0!</v>
      </c>
      <c r="Z15" s="12" t="e">
        <f t="shared" si="0"/>
        <v>#DIV/0!</v>
      </c>
      <c r="AA15" s="12" t="e">
        <f t="shared" si="0"/>
        <v>#DIV/0!</v>
      </c>
    </row>
    <row r="16" spans="1:27" ht="14.25" customHeight="1" x14ac:dyDescent="0.2">
      <c r="A16" s="11" t="s">
        <v>60</v>
      </c>
      <c r="B16" s="6">
        <f t="shared" ref="B16:AA16" si="1">B5-B7</f>
        <v>-736795116000</v>
      </c>
      <c r="C16" s="6">
        <f t="shared" si="1"/>
        <v>-507935163000</v>
      </c>
      <c r="D16" s="6">
        <f t="shared" si="1"/>
        <v>-784293473000</v>
      </c>
      <c r="E16" s="6">
        <f t="shared" si="1"/>
        <v>-811965634000</v>
      </c>
      <c r="F16" s="6">
        <f t="shared" si="1"/>
        <v>-930691992000</v>
      </c>
      <c r="G16" s="6">
        <f t="shared" si="1"/>
        <v>-539349610000</v>
      </c>
      <c r="H16" s="6">
        <f t="shared" si="1"/>
        <v>-753047400000</v>
      </c>
      <c r="I16" s="6">
        <f t="shared" si="1"/>
        <v>-1494173765000</v>
      </c>
      <c r="J16" s="6">
        <f t="shared" si="1"/>
        <v>-1506243771000</v>
      </c>
      <c r="K16" s="6">
        <f t="shared" si="1"/>
        <v>0</v>
      </c>
      <c r="L16" s="6">
        <f t="shared" si="1"/>
        <v>0</v>
      </c>
      <c r="M16" s="6">
        <f t="shared" si="1"/>
        <v>0</v>
      </c>
      <c r="N16" s="6">
        <f t="shared" si="1"/>
        <v>0</v>
      </c>
      <c r="O16" s="6">
        <f t="shared" si="1"/>
        <v>0</v>
      </c>
      <c r="P16" s="6">
        <f t="shared" si="1"/>
        <v>0</v>
      </c>
      <c r="Q16" s="6">
        <f t="shared" si="1"/>
        <v>0</v>
      </c>
      <c r="R16" s="6">
        <f t="shared" si="1"/>
        <v>0</v>
      </c>
      <c r="S16" s="6">
        <f t="shared" si="1"/>
        <v>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12">
        <f t="shared" si="1"/>
        <v>0</v>
      </c>
      <c r="Y16" s="12">
        <f t="shared" si="1"/>
        <v>0</v>
      </c>
      <c r="Z16" s="12">
        <f t="shared" si="1"/>
        <v>0</v>
      </c>
      <c r="AA16" s="12">
        <f t="shared" si="1"/>
        <v>0</v>
      </c>
    </row>
    <row r="17" spans="1:27" ht="14.25" customHeight="1" x14ac:dyDescent="0.2">
      <c r="A17" s="11" t="s">
        <v>61</v>
      </c>
      <c r="B17" s="13">
        <f t="shared" ref="B17:AA17" si="2">B10/B4</f>
        <v>8.5710151807112139E-2</v>
      </c>
      <c r="C17" s="13">
        <f t="shared" si="2"/>
        <v>2.8911731714418708E-2</v>
      </c>
      <c r="D17" s="13">
        <f t="shared" si="2"/>
        <v>0.1838817854089502</v>
      </c>
      <c r="E17" s="13">
        <f t="shared" si="2"/>
        <v>0.13360488570361934</v>
      </c>
      <c r="F17" s="13">
        <f t="shared" si="2"/>
        <v>9.4765884268007625E-2</v>
      </c>
      <c r="G17" s="13">
        <f t="shared" si="2"/>
        <v>3.6631528968960041E-2</v>
      </c>
      <c r="H17" s="13">
        <f t="shared" si="2"/>
        <v>0.14574903156107299</v>
      </c>
      <c r="I17" s="13">
        <f t="shared" si="2"/>
        <v>4.30809253025565E-2</v>
      </c>
      <c r="J17" s="13">
        <f t="shared" si="2"/>
        <v>1.2258464726346834E-2</v>
      </c>
      <c r="K17" s="13" t="e">
        <f t="shared" si="2"/>
        <v>#DIV/0!</v>
      </c>
      <c r="L17" s="13" t="e">
        <f t="shared" si="2"/>
        <v>#DIV/0!</v>
      </c>
      <c r="M17" s="13" t="e">
        <f t="shared" si="2"/>
        <v>#DIV/0!</v>
      </c>
      <c r="N17" s="13" t="e">
        <f t="shared" si="2"/>
        <v>#DIV/0!</v>
      </c>
      <c r="O17" s="13" t="e">
        <f t="shared" si="2"/>
        <v>#DIV/0!</v>
      </c>
      <c r="P17" s="13" t="e">
        <f t="shared" si="2"/>
        <v>#DIV/0!</v>
      </c>
      <c r="Q17" s="13" t="e">
        <f t="shared" si="2"/>
        <v>#DIV/0!</v>
      </c>
      <c r="R17" s="13" t="e">
        <f t="shared" si="2"/>
        <v>#DIV/0!</v>
      </c>
      <c r="S17" s="13" t="e">
        <f t="shared" si="2"/>
        <v>#DIV/0!</v>
      </c>
      <c r="T17" s="13" t="e">
        <f t="shared" si="2"/>
        <v>#DIV/0!</v>
      </c>
      <c r="U17" s="13" t="e">
        <f t="shared" si="2"/>
        <v>#DIV/0!</v>
      </c>
      <c r="V17" s="13" t="e">
        <f t="shared" si="2"/>
        <v>#DIV/0!</v>
      </c>
      <c r="W17" s="13" t="e">
        <f t="shared" si="2"/>
        <v>#DIV/0!</v>
      </c>
      <c r="X17" s="13" t="e">
        <f t="shared" si="2"/>
        <v>#DIV/0!</v>
      </c>
      <c r="Y17" s="13" t="e">
        <f t="shared" si="2"/>
        <v>#DIV/0!</v>
      </c>
      <c r="Z17" s="13" t="e">
        <f t="shared" si="2"/>
        <v>#DIV/0!</v>
      </c>
      <c r="AA17" s="13" t="e">
        <f t="shared" si="2"/>
        <v>#DIV/0!</v>
      </c>
    </row>
    <row r="18" spans="1:27" ht="14.25" customHeight="1" x14ac:dyDescent="0.2">
      <c r="A18" s="11" t="s">
        <v>62</v>
      </c>
      <c r="B18" s="13">
        <f t="shared" ref="B18:AA18" si="3">B10/B9</f>
        <v>0.14726472254348238</v>
      </c>
      <c r="C18" s="13">
        <f t="shared" si="3"/>
        <v>4.7501320636154316E-2</v>
      </c>
      <c r="D18" s="13">
        <f t="shared" si="3"/>
        <v>0.3036070104814495</v>
      </c>
      <c r="E18" s="13">
        <f t="shared" si="3"/>
        <v>0.23194052771069137</v>
      </c>
      <c r="F18" s="13">
        <f t="shared" si="3"/>
        <v>0.16969877481540577</v>
      </c>
      <c r="G18" s="13">
        <f t="shared" si="3"/>
        <v>6.5082843326450909E-2</v>
      </c>
      <c r="H18" s="13">
        <f t="shared" si="3"/>
        <v>0.26252664854667546</v>
      </c>
      <c r="I18" s="13">
        <f t="shared" si="3"/>
        <v>0.10457683216254096</v>
      </c>
      <c r="J18" s="13">
        <f t="shared" si="3"/>
        <v>3.0646187164034316E-2</v>
      </c>
      <c r="K18" s="13" t="e">
        <f t="shared" si="3"/>
        <v>#DIV/0!</v>
      </c>
      <c r="L18" s="13" t="e">
        <f t="shared" si="3"/>
        <v>#DIV/0!</v>
      </c>
      <c r="M18" s="13" t="e">
        <f t="shared" si="3"/>
        <v>#DIV/0!</v>
      </c>
      <c r="N18" s="13" t="e">
        <f t="shared" si="3"/>
        <v>#DIV/0!</v>
      </c>
      <c r="O18" s="13" t="e">
        <f t="shared" si="3"/>
        <v>#DIV/0!</v>
      </c>
      <c r="P18" s="13" t="e">
        <f t="shared" si="3"/>
        <v>#DIV/0!</v>
      </c>
      <c r="Q18" s="13" t="e">
        <f t="shared" si="3"/>
        <v>#DIV/0!</v>
      </c>
      <c r="R18" s="13" t="e">
        <f t="shared" si="3"/>
        <v>#DIV/0!</v>
      </c>
      <c r="S18" s="13" t="e">
        <f t="shared" si="3"/>
        <v>#DIV/0!</v>
      </c>
      <c r="T18" s="13" t="e">
        <f t="shared" si="3"/>
        <v>#DIV/0!</v>
      </c>
      <c r="U18" s="13" t="e">
        <f t="shared" si="3"/>
        <v>#DIV/0!</v>
      </c>
      <c r="V18" s="13" t="e">
        <f t="shared" si="3"/>
        <v>#DIV/0!</v>
      </c>
      <c r="W18" s="13" t="e">
        <f t="shared" si="3"/>
        <v>#DIV/0!</v>
      </c>
      <c r="X18" s="13" t="e">
        <f t="shared" si="3"/>
        <v>#DIV/0!</v>
      </c>
      <c r="Y18" s="13" t="e">
        <f t="shared" si="3"/>
        <v>#DIV/0!</v>
      </c>
      <c r="Z18" s="13" t="e">
        <f t="shared" si="3"/>
        <v>#DIV/0!</v>
      </c>
      <c r="AA18" s="13" t="e">
        <f t="shared" si="3"/>
        <v>#DIV/0!</v>
      </c>
    </row>
    <row r="19" spans="1:27" ht="14.25" customHeight="1" x14ac:dyDescent="0.2">
      <c r="A19" s="11" t="s">
        <v>63</v>
      </c>
      <c r="B19" s="14">
        <f t="shared" ref="B19:AA19" si="4">B14/B15</f>
        <v>1.9463989988422434</v>
      </c>
      <c r="C19" s="14">
        <f t="shared" si="4"/>
        <v>1.5969023152531543</v>
      </c>
      <c r="D19" s="14">
        <f t="shared" si="4"/>
        <v>2.1311951546146286</v>
      </c>
      <c r="E19" s="14">
        <f t="shared" si="4"/>
        <v>2.5889544013334715</v>
      </c>
      <c r="F19" s="14">
        <f t="shared" si="4"/>
        <v>2.4660378507620599</v>
      </c>
      <c r="G19" s="14">
        <f t="shared" si="4"/>
        <v>2.2323631626940821</v>
      </c>
      <c r="H19" s="14">
        <f t="shared" si="4"/>
        <v>2.4083499341573376</v>
      </c>
      <c r="I19" s="14">
        <f t="shared" si="4"/>
        <v>3.0062368930240653</v>
      </c>
      <c r="J19" s="14">
        <f t="shared" si="4"/>
        <v>2.8914509410747518</v>
      </c>
      <c r="K19" s="14" t="e">
        <f t="shared" si="4"/>
        <v>#DIV/0!</v>
      </c>
      <c r="L19" s="14" t="e">
        <f t="shared" si="4"/>
        <v>#DIV/0!</v>
      </c>
      <c r="M19" s="14" t="e">
        <f t="shared" si="4"/>
        <v>#DIV/0!</v>
      </c>
      <c r="N19" s="14" t="e">
        <f t="shared" si="4"/>
        <v>#DIV/0!</v>
      </c>
      <c r="O19" s="14" t="e">
        <f t="shared" si="4"/>
        <v>#DIV/0!</v>
      </c>
      <c r="P19" s="14" t="e">
        <f t="shared" si="4"/>
        <v>#DIV/0!</v>
      </c>
      <c r="Q19" s="14" t="e">
        <f t="shared" si="4"/>
        <v>#DIV/0!</v>
      </c>
      <c r="R19" s="14" t="e">
        <f t="shared" si="4"/>
        <v>#DIV/0!</v>
      </c>
      <c r="S19" s="14" t="e">
        <f t="shared" si="4"/>
        <v>#DIV/0!</v>
      </c>
      <c r="T19" s="14" t="e">
        <f t="shared" si="4"/>
        <v>#DIV/0!</v>
      </c>
      <c r="U19" s="14" t="e">
        <f t="shared" si="4"/>
        <v>#DIV/0!</v>
      </c>
      <c r="V19" s="14" t="e">
        <f t="shared" si="4"/>
        <v>#DIV/0!</v>
      </c>
      <c r="W19" s="14" t="e">
        <f t="shared" si="4"/>
        <v>#DIV/0!</v>
      </c>
      <c r="X19" s="12" t="e">
        <f t="shared" si="4"/>
        <v>#DIV/0!</v>
      </c>
      <c r="Y19" s="12" t="e">
        <f t="shared" si="4"/>
        <v>#DIV/0!</v>
      </c>
      <c r="Z19" s="12" t="e">
        <f t="shared" si="4"/>
        <v>#DIV/0!</v>
      </c>
      <c r="AA19" s="12" t="e">
        <f t="shared" si="4"/>
        <v>#DIV/0!</v>
      </c>
    </row>
    <row r="20" spans="1:27" ht="14.25" customHeight="1" x14ac:dyDescent="0.2">
      <c r="A20" s="11" t="s">
        <v>64</v>
      </c>
      <c r="B20" s="14">
        <f t="shared" ref="B20:AA20" si="5">B14/B21</f>
        <v>13.217007883660232</v>
      </c>
      <c r="C20" s="14">
        <f t="shared" si="5"/>
        <v>33.61806143212187</v>
      </c>
      <c r="D20" s="14">
        <f t="shared" si="5"/>
        <v>7.0195847956048594</v>
      </c>
      <c r="E20" s="14">
        <f t="shared" si="5"/>
        <v>11.162147585361957</v>
      </c>
      <c r="F20" s="14">
        <f t="shared" si="5"/>
        <v>14.531854183653101</v>
      </c>
      <c r="G20" s="14">
        <f t="shared" si="5"/>
        <v>34.300332447012309</v>
      </c>
      <c r="H20" s="14">
        <f t="shared" si="5"/>
        <v>9.1737351140912811</v>
      </c>
      <c r="I20" s="14">
        <f t="shared" si="5"/>
        <v>28.7466815628107</v>
      </c>
      <c r="J20" s="14">
        <f t="shared" si="5"/>
        <v>94.349451225309167</v>
      </c>
      <c r="K20" s="14" t="e">
        <f t="shared" si="5"/>
        <v>#DIV/0!</v>
      </c>
      <c r="L20" s="14" t="e">
        <f t="shared" si="5"/>
        <v>#DIV/0!</v>
      </c>
      <c r="M20" s="14" t="e">
        <f t="shared" si="5"/>
        <v>#DIV/0!</v>
      </c>
      <c r="N20" s="14" t="e">
        <f t="shared" si="5"/>
        <v>#DIV/0!</v>
      </c>
      <c r="O20" s="14" t="e">
        <f t="shared" si="5"/>
        <v>#DIV/0!</v>
      </c>
      <c r="P20" s="14" t="e">
        <f t="shared" si="5"/>
        <v>#DIV/0!</v>
      </c>
      <c r="Q20" s="14" t="e">
        <f t="shared" si="5"/>
        <v>#DIV/0!</v>
      </c>
      <c r="R20" s="14" t="e">
        <f t="shared" si="5"/>
        <v>#DIV/0!</v>
      </c>
      <c r="S20" s="14" t="e">
        <f t="shared" si="5"/>
        <v>#DIV/0!</v>
      </c>
      <c r="T20" s="14" t="e">
        <f t="shared" si="5"/>
        <v>#DIV/0!</v>
      </c>
      <c r="U20" s="14" t="e">
        <f t="shared" si="5"/>
        <v>#DIV/0!</v>
      </c>
      <c r="V20" s="14" t="e">
        <f t="shared" si="5"/>
        <v>#DIV/0!</v>
      </c>
      <c r="W20" s="14" t="e">
        <f t="shared" si="5"/>
        <v>#DIV/0!</v>
      </c>
      <c r="X20" s="12" t="e">
        <f t="shared" si="5"/>
        <v>#DIV/0!</v>
      </c>
      <c r="Y20" s="12" t="e">
        <f t="shared" si="5"/>
        <v>#DIV/0!</v>
      </c>
      <c r="Z20" s="12" t="e">
        <f t="shared" si="5"/>
        <v>#DIV/0!</v>
      </c>
      <c r="AA20" s="12" t="e">
        <f t="shared" si="5"/>
        <v>#DIV/0!</v>
      </c>
    </row>
    <row r="21" spans="1:27" ht="14.25" customHeight="1" x14ac:dyDescent="0.2">
      <c r="A21" s="11" t="s">
        <v>65</v>
      </c>
      <c r="B21" s="6">
        <f t="shared" ref="B21:AA21" si="6">B10/B13</f>
        <v>41.99134969769738</v>
      </c>
      <c r="C21" s="6">
        <f t="shared" si="6"/>
        <v>14.040071910541714</v>
      </c>
      <c r="D21" s="6">
        <f t="shared" si="6"/>
        <v>85.475140976383003</v>
      </c>
      <c r="E21" s="6">
        <f t="shared" si="6"/>
        <v>64.055773723835287</v>
      </c>
      <c r="F21" s="6">
        <f t="shared" si="6"/>
        <v>43.353036167173194</v>
      </c>
      <c r="G21" s="6">
        <f t="shared" si="6"/>
        <v>16.90945709916932</v>
      </c>
      <c r="H21" s="6">
        <f t="shared" si="6"/>
        <v>63.769009321122965</v>
      </c>
      <c r="I21" s="6">
        <f t="shared" si="6"/>
        <v>18.089044429834953</v>
      </c>
      <c r="J21" s="6">
        <f t="shared" si="6"/>
        <v>4.896689848218946</v>
      </c>
      <c r="K21" s="6" t="e">
        <f t="shared" si="6"/>
        <v>#DIV/0!</v>
      </c>
      <c r="L21" s="6" t="e">
        <f t="shared" si="6"/>
        <v>#DIV/0!</v>
      </c>
      <c r="M21" s="6" t="e">
        <f t="shared" si="6"/>
        <v>#DIV/0!</v>
      </c>
      <c r="N21" s="6" t="e">
        <f t="shared" si="6"/>
        <v>#DIV/0!</v>
      </c>
      <c r="O21" s="6" t="e">
        <f t="shared" si="6"/>
        <v>#DIV/0!</v>
      </c>
      <c r="P21" s="6" t="e">
        <f t="shared" si="6"/>
        <v>#DIV/0!</v>
      </c>
      <c r="Q21" s="6" t="e">
        <f t="shared" si="6"/>
        <v>#DIV/0!</v>
      </c>
      <c r="R21" s="6" t="e">
        <f t="shared" si="6"/>
        <v>#DIV/0!</v>
      </c>
      <c r="S21" s="6" t="e">
        <f t="shared" si="6"/>
        <v>#DIV/0!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12" t="e">
        <f t="shared" si="6"/>
        <v>#DIV/0!</v>
      </c>
      <c r="Y21" s="12" t="e">
        <f t="shared" si="6"/>
        <v>#DIV/0!</v>
      </c>
      <c r="Z21" s="12" t="e">
        <f t="shared" si="6"/>
        <v>#DIV/0!</v>
      </c>
      <c r="AA21" s="12" t="e">
        <f t="shared" si="6"/>
        <v>#DIV/0!</v>
      </c>
    </row>
    <row r="22" spans="1:27" ht="14.25" customHeight="1" x14ac:dyDescent="0.2">
      <c r="A22" s="11" t="s">
        <v>66</v>
      </c>
      <c r="B22" s="13">
        <f t="shared" ref="B22:AA22" si="7">B7/B9</f>
        <v>0.71815825587811088</v>
      </c>
      <c r="C22" s="13">
        <f t="shared" si="7"/>
        <v>0.64296548999008429</v>
      </c>
      <c r="D22" s="13">
        <f t="shared" si="7"/>
        <v>0.65108679771641964</v>
      </c>
      <c r="E22" s="13">
        <f t="shared" si="7"/>
        <v>0.73600488588855351</v>
      </c>
      <c r="F22" s="13">
        <f t="shared" si="7"/>
        <v>0.79070192487031521</v>
      </c>
      <c r="G22" s="13">
        <f t="shared" si="7"/>
        <v>0.77667624522899548</v>
      </c>
      <c r="H22" s="13">
        <f t="shared" si="7"/>
        <v>0.80121049011285517</v>
      </c>
      <c r="I22" s="13">
        <f t="shared" si="7"/>
        <v>1.4274358619762304</v>
      </c>
      <c r="J22" s="13">
        <f t="shared" si="7"/>
        <v>1.4999866971338565</v>
      </c>
      <c r="K22" s="13" t="e">
        <f t="shared" si="7"/>
        <v>#DIV/0!</v>
      </c>
      <c r="L22" s="13" t="e">
        <f t="shared" si="7"/>
        <v>#DIV/0!</v>
      </c>
      <c r="M22" s="13" t="e">
        <f t="shared" si="7"/>
        <v>#DIV/0!</v>
      </c>
      <c r="N22" s="13" t="e">
        <f t="shared" si="7"/>
        <v>#DIV/0!</v>
      </c>
      <c r="O22" s="13" t="e">
        <f t="shared" si="7"/>
        <v>#DIV/0!</v>
      </c>
      <c r="P22" s="13" t="e">
        <f t="shared" si="7"/>
        <v>#DIV/0!</v>
      </c>
      <c r="Q22" s="13" t="e">
        <f t="shared" si="7"/>
        <v>#DIV/0!</v>
      </c>
      <c r="R22" s="13" t="e">
        <f t="shared" si="7"/>
        <v>#DIV/0!</v>
      </c>
      <c r="S22" s="13" t="e">
        <f t="shared" si="7"/>
        <v>#DIV/0!</v>
      </c>
      <c r="T22" s="13" t="e">
        <f t="shared" si="7"/>
        <v>#DIV/0!</v>
      </c>
      <c r="U22" s="13" t="e">
        <f t="shared" si="7"/>
        <v>#DIV/0!</v>
      </c>
      <c r="V22" s="13" t="e">
        <f t="shared" si="7"/>
        <v>#DIV/0!</v>
      </c>
      <c r="W22" s="13" t="e">
        <f t="shared" si="7"/>
        <v>#DIV/0!</v>
      </c>
      <c r="X22" s="13" t="e">
        <f t="shared" si="7"/>
        <v>#DIV/0!</v>
      </c>
      <c r="Y22" s="13" t="e">
        <f t="shared" si="7"/>
        <v>#DIV/0!</v>
      </c>
      <c r="Z22" s="13" t="e">
        <f t="shared" si="7"/>
        <v>#DIV/0!</v>
      </c>
      <c r="AA22" s="13" t="e">
        <f t="shared" si="7"/>
        <v>#DIV/0!</v>
      </c>
    </row>
    <row r="23" spans="1:27" ht="14.25" customHeight="1" x14ac:dyDescent="0.2"/>
    <row r="24" spans="1:27" ht="14.25" customHeight="1" x14ac:dyDescent="0.2"/>
    <row r="25" spans="1:27" ht="14.25" customHeight="1" x14ac:dyDescent="0.2"/>
    <row r="26" spans="1:27" ht="14.25" customHeight="1" x14ac:dyDescent="0.2"/>
    <row r="27" spans="1:27" ht="14.25" customHeight="1" x14ac:dyDescent="0.2"/>
    <row r="28" spans="1:27" ht="14.25" customHeight="1" x14ac:dyDescent="0.2"/>
    <row r="29" spans="1:27" ht="14.25" customHeight="1" x14ac:dyDescent="0.2"/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3</v>
      </c>
    </row>
    <row r="2" spans="1:4" x14ac:dyDescent="0.2">
      <c r="A2" s="3" t="s">
        <v>4</v>
      </c>
      <c r="B2" s="1" t="s">
        <v>6</v>
      </c>
      <c r="C2" s="1">
        <v>3734</v>
      </c>
      <c r="D2" s="1" t="s">
        <v>7</v>
      </c>
    </row>
    <row r="3" spans="1:4" x14ac:dyDescent="0.2">
      <c r="A3" s="1" t="s">
        <v>8</v>
      </c>
      <c r="B3" s="1" t="s">
        <v>9</v>
      </c>
      <c r="C3" s="1">
        <v>6365</v>
      </c>
      <c r="D3" s="1" t="s">
        <v>7</v>
      </c>
    </row>
    <row r="4" spans="1:4" x14ac:dyDescent="0.2">
      <c r="A4" s="3" t="s">
        <v>10</v>
      </c>
      <c r="B4" s="3" t="s">
        <v>11</v>
      </c>
      <c r="C4" s="3">
        <v>6267</v>
      </c>
      <c r="D4" s="1" t="s">
        <v>7</v>
      </c>
    </row>
    <row r="5" spans="1:4" x14ac:dyDescent="0.2">
      <c r="A5" s="3" t="s">
        <v>12</v>
      </c>
      <c r="B5" s="3" t="s">
        <v>13</v>
      </c>
      <c r="C5" s="3">
        <v>5029</v>
      </c>
      <c r="D5" s="1" t="s">
        <v>7</v>
      </c>
    </row>
    <row r="6" spans="1:4" x14ac:dyDescent="0.2">
      <c r="A6" s="3" t="s">
        <v>14</v>
      </c>
      <c r="B6" s="3" t="s">
        <v>13</v>
      </c>
      <c r="C6" s="3">
        <v>10794</v>
      </c>
      <c r="D6" s="1" t="s">
        <v>7</v>
      </c>
    </row>
    <row r="7" spans="1:4" x14ac:dyDescent="0.2">
      <c r="A7" s="3" t="s">
        <v>15</v>
      </c>
      <c r="B7" s="3" t="s">
        <v>13</v>
      </c>
      <c r="C7" s="3">
        <v>3356</v>
      </c>
      <c r="D7" s="1" t="s">
        <v>7</v>
      </c>
    </row>
    <row r="8" spans="1:4" x14ac:dyDescent="0.2">
      <c r="A8" s="1" t="s">
        <v>16</v>
      </c>
      <c r="B8" s="3" t="s">
        <v>13</v>
      </c>
      <c r="C8" s="3">
        <v>16348</v>
      </c>
      <c r="D8" s="1" t="s">
        <v>7</v>
      </c>
    </row>
    <row r="9" spans="1:4" x14ac:dyDescent="0.2">
      <c r="A9" s="3" t="s">
        <v>17</v>
      </c>
      <c r="B9" s="3" t="s">
        <v>18</v>
      </c>
      <c r="C9" s="3">
        <v>1528</v>
      </c>
      <c r="D9" s="1" t="s">
        <v>7</v>
      </c>
    </row>
    <row r="10" spans="1:4" x14ac:dyDescent="0.2">
      <c r="A10" s="3" t="s">
        <v>19</v>
      </c>
      <c r="B10" s="3" t="s">
        <v>18</v>
      </c>
      <c r="C10" s="3">
        <v>11009</v>
      </c>
      <c r="D10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2026-09-02T16:21:44Z</dcterms:modified>
</cp:coreProperties>
</file>