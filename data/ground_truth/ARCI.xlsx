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uhammadnajmirahmani/Belajar/ProjectDatasaur/data/ground_truth/"/>
    </mc:Choice>
  </mc:AlternateContent>
  <xr:revisionPtr revIDLastSave="0" documentId="13_ncr:1_{A571F0D3-469A-BA45-939B-3809BBF92057}" xr6:coauthVersionLast="47" xr6:coauthVersionMax="47" xr10:uidLastSave="{00000000-0000-0000-0000-000000000000}"/>
  <bookViews>
    <workbookView xWindow="0" yWindow="660" windowWidth="29300" windowHeight="18980" xr2:uid="{00000000-000D-0000-FFFF-FFFF00000000}"/>
  </bookViews>
  <sheets>
    <sheet name="Sheet1" sheetId="1" r:id="rId1"/>
    <sheet name="Sheet2" sheetId="2" r:id="rId2"/>
    <sheet name="lokasi kebu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1" l="1"/>
  <c r="H2" i="2"/>
  <c r="B2" i="2"/>
  <c r="D2" i="2" s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A21" i="1"/>
  <c r="Z21" i="1"/>
  <c r="Y21" i="1"/>
  <c r="X21" i="1"/>
  <c r="X20" i="1" s="1"/>
  <c r="W21" i="1"/>
  <c r="W20" i="1" s="1"/>
  <c r="V21" i="1"/>
  <c r="U21" i="1"/>
  <c r="T21" i="1"/>
  <c r="S21" i="1"/>
  <c r="R21" i="1"/>
  <c r="Q21" i="1"/>
  <c r="P21" i="1"/>
  <c r="O21" i="1"/>
  <c r="N21" i="1"/>
  <c r="N20" i="1" s="1"/>
  <c r="M21" i="1"/>
  <c r="M20" i="1" s="1"/>
  <c r="L21" i="1"/>
  <c r="K21" i="1"/>
  <c r="J21" i="1"/>
  <c r="I21" i="1"/>
  <c r="H21" i="1"/>
  <c r="G21" i="1"/>
  <c r="F21" i="1"/>
  <c r="E21" i="1"/>
  <c r="D21" i="1"/>
  <c r="D20" i="1" s="1"/>
  <c r="C21" i="1"/>
  <c r="C20" i="1" s="1"/>
  <c r="B21" i="1"/>
  <c r="AA20" i="1"/>
  <c r="Z20" i="1"/>
  <c r="Y20" i="1"/>
  <c r="V20" i="1"/>
  <c r="U20" i="1"/>
  <c r="T20" i="1"/>
  <c r="S20" i="1"/>
  <c r="R20" i="1"/>
  <c r="Q20" i="1"/>
  <c r="P20" i="1"/>
  <c r="O20" i="1"/>
  <c r="L20" i="1"/>
  <c r="K20" i="1"/>
  <c r="J20" i="1"/>
  <c r="I20" i="1"/>
  <c r="H20" i="1"/>
  <c r="G20" i="1"/>
  <c r="F20" i="1"/>
  <c r="E20" i="1"/>
  <c r="B20" i="1"/>
  <c r="AA19" i="1"/>
  <c r="Z19" i="1"/>
  <c r="Y19" i="1"/>
  <c r="X19" i="1"/>
  <c r="W19" i="1"/>
  <c r="V19" i="1"/>
  <c r="U19" i="1"/>
  <c r="Q19" i="1"/>
  <c r="P19" i="1"/>
  <c r="O19" i="1"/>
  <c r="N19" i="1"/>
  <c r="M19" i="1"/>
  <c r="L19" i="1"/>
  <c r="K19" i="1"/>
  <c r="G19" i="1"/>
  <c r="F19" i="1"/>
  <c r="E19" i="1"/>
  <c r="D19" i="1"/>
  <c r="C19" i="1"/>
  <c r="B19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A15" i="1"/>
  <c r="Z15" i="1"/>
  <c r="Y15" i="1"/>
  <c r="X15" i="1"/>
  <c r="W15" i="1"/>
  <c r="V15" i="1"/>
  <c r="U15" i="1"/>
  <c r="T15" i="1"/>
  <c r="T19" i="1" s="1"/>
  <c r="S15" i="1"/>
  <c r="S19" i="1" s="1"/>
  <c r="R15" i="1"/>
  <c r="R19" i="1" s="1"/>
  <c r="Q15" i="1"/>
  <c r="P15" i="1"/>
  <c r="O15" i="1"/>
  <c r="N15" i="1"/>
  <c r="M15" i="1"/>
  <c r="L15" i="1"/>
  <c r="J15" i="1"/>
  <c r="J19" i="1" s="1"/>
  <c r="I15" i="1"/>
  <c r="I19" i="1" s="1"/>
  <c r="H15" i="1"/>
  <c r="H19" i="1" s="1"/>
  <c r="G15" i="1"/>
  <c r="F15" i="1"/>
  <c r="E15" i="1"/>
  <c r="D15" i="1"/>
  <c r="C15" i="1"/>
  <c r="B15" i="1"/>
</calcChain>
</file>

<file path=xl/sharedStrings.xml><?xml version="1.0" encoding="utf-8"?>
<sst xmlns="http://schemas.openxmlformats.org/spreadsheetml/2006/main" count="84" uniqueCount="71">
  <si>
    <t>(HANYA YANG BISA DIATRIBUSIKAN KE ENTITAS INDUK SAJA)</t>
  </si>
  <si>
    <t>ARCI</t>
  </si>
  <si>
    <t>DINYATAKAN DALAM RUPIAH</t>
  </si>
  <si>
    <t>kecuali nilai nominal dan data saham</t>
  </si>
  <si>
    <t>Q2 2026</t>
  </si>
  <si>
    <t>Q1 2026</t>
  </si>
  <si>
    <t>Q4 2025</t>
  </si>
  <si>
    <t>Q3 2025</t>
  </si>
  <si>
    <t>Q2 2025</t>
  </si>
  <si>
    <t>Q1 2025</t>
  </si>
  <si>
    <t>TAHUNAN 2024</t>
  </si>
  <si>
    <t>Q3 2024</t>
  </si>
  <si>
    <t>Q2 2024</t>
  </si>
  <si>
    <t>Q1 2024</t>
  </si>
  <si>
    <t>TAHUNAN 2023</t>
  </si>
  <si>
    <t>Q3 2023</t>
  </si>
  <si>
    <t>Q2 2023</t>
  </si>
  <si>
    <t>Q1 2023</t>
  </si>
  <si>
    <t>TAHUNAN 2022</t>
  </si>
  <si>
    <t>Q3 2022</t>
  </si>
  <si>
    <t>Q2 2022</t>
  </si>
  <si>
    <t>Q1 2022</t>
  </si>
  <si>
    <t>TAHUNAN 2021</t>
  </si>
  <si>
    <t>Q3 2021</t>
  </si>
  <si>
    <t>Q2 2021</t>
  </si>
  <si>
    <t>Q1 2021</t>
  </si>
  <si>
    <t>TAHUNAN 2020</t>
  </si>
  <si>
    <t>Q3 2020</t>
  </si>
  <si>
    <t>Q2 2020</t>
  </si>
  <si>
    <t>Q1 2020</t>
  </si>
  <si>
    <t>Aset</t>
  </si>
  <si>
    <t>total aset lancar</t>
  </si>
  <si>
    <t>KAS</t>
  </si>
  <si>
    <t>liabilitas</t>
  </si>
  <si>
    <t>Utang Bank SAJA Jangka Pendek + Panjang jatuh tempo</t>
  </si>
  <si>
    <t>ekuitas</t>
  </si>
  <si>
    <t>laba bersih</t>
  </si>
  <si>
    <t>pendapatan dari kontrak dengan pelanggan</t>
  </si>
  <si>
    <t>kas dari aktivitas operasi</t>
  </si>
  <si>
    <t>total share</t>
  </si>
  <si>
    <t>Harga saham rupiah</t>
  </si>
  <si>
    <t>Book Value per share</t>
  </si>
  <si>
    <t>P1</t>
  </si>
  <si>
    <t>ROA</t>
  </si>
  <si>
    <t>ROE</t>
  </si>
  <si>
    <t>PBV</t>
  </si>
  <si>
    <t>PE</t>
  </si>
  <si>
    <t>EPS</t>
  </si>
  <si>
    <t>DER</t>
  </si>
  <si>
    <t>Kurs</t>
  </si>
  <si>
    <t>USD to IDR</t>
  </si>
  <si>
    <t>Value</t>
  </si>
  <si>
    <t>Converted</t>
  </si>
  <si>
    <t>Perusahaan</t>
  </si>
  <si>
    <t xml:space="preserve">Lokasi </t>
  </si>
  <si>
    <t>Luasan</t>
  </si>
  <si>
    <t>PT Cipta Davia Mandiri</t>
  </si>
  <si>
    <t xml:space="preserve">Kutai Timur, Kaltim </t>
  </si>
  <si>
    <t>Hektar</t>
  </si>
  <si>
    <t>PT Cahaya Anugrah Plantation</t>
  </si>
  <si>
    <t>Kutai Kartanegara, Kaltim</t>
  </si>
  <si>
    <t>Multi Jayantara Abadi</t>
  </si>
  <si>
    <t>Paser, Kaltim</t>
  </si>
  <si>
    <t>Gemilang Sejahtera Abadi</t>
  </si>
  <si>
    <t>Kutai Timur, Kaltim</t>
  </si>
  <si>
    <t>Telen Prima Sawit</t>
  </si>
  <si>
    <t>Sawit Prima Nusantara</t>
  </si>
  <si>
    <t xml:space="preserve"> Telen</t>
  </si>
  <si>
    <t>Inti Energi Kaltim</t>
  </si>
  <si>
    <t>Berau, Kaltim</t>
  </si>
  <si>
    <t>Tanjung Buyu Perkasa Plantation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</si>
</sst>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#,##0_ "/>
  </numFmts>
  <fonts count="8" x14ac:knownFonts="1">
    <font>
      <sz val="11"/>
      <color theme="1"/>
      <name val="Aptos Narrow"/>
      <scheme val="minor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color theme="1"/>
      <name val="Aptos Narrow"/>
      <scheme val="minor"/>
    </font>
    <font>
      <sz val="11"/>
      <color theme="1"/>
      <name val="Tahoma"/>
      <family val="2"/>
    </font>
    <font>
      <sz val="9"/>
      <color rgb="FF000000"/>
      <name val="Helvetica"/>
      <family val="2"/>
    </font>
    <font>
      <sz val="11"/>
      <color rgb="FF000000"/>
      <name val="Aptos Narrow"/>
      <scheme val="minor"/>
    </font>
    <font>
      <sz val="10"/>
      <color rgb="FF000000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164" fontId="2" fillId="0" borderId="0" xfId="0" applyNumberFormat="1" applyFont="1"/>
    <xf numFmtId="164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2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0" fontId="4" fillId="0" borderId="0" xfId="0" applyFont="1"/>
    <xf numFmtId="41" fontId="0" fillId="0" borderId="0" xfId="1" applyFont="1"/>
    <xf numFmtId="41" fontId="0" fillId="0" borderId="0" xfId="0" applyNumberFormat="1"/>
    <xf numFmtId="0" fontId="5" fillId="0" borderId="0" xfId="0" applyFont="1"/>
    <xf numFmtId="3" fontId="5" fillId="0" borderId="0" xfId="0" applyNumberFormat="1" applyFont="1"/>
    <xf numFmtId="41" fontId="6" fillId="0" borderId="0" xfId="0" applyNumberFormat="1" applyFont="1"/>
    <xf numFmtId="0" fontId="7" fillId="0" borderId="0" xfId="0" applyFont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1" topLeftCell="B1" activePane="topRight" state="frozen"/>
      <selection pane="topRight" activeCell="L33" sqref="L33"/>
    </sheetView>
  </sheetViews>
  <sheetFormatPr baseColWidth="10" defaultColWidth="12.6640625" defaultRowHeight="15" customHeight="1" x14ac:dyDescent="0.2"/>
  <cols>
    <col min="1" max="1" width="59.6640625" customWidth="1"/>
    <col min="2" max="2" width="20.5" customWidth="1"/>
    <col min="3" max="3" width="19.5" customWidth="1"/>
    <col min="4" max="4" width="22.5" customWidth="1"/>
    <col min="5" max="7" width="19.5" customWidth="1"/>
    <col min="8" max="8" width="18.6640625" bestFit="1" customWidth="1"/>
    <col min="9" max="9" width="19.5" customWidth="1"/>
    <col min="10" max="15" width="18.6640625" bestFit="1" customWidth="1"/>
    <col min="16" max="17" width="18.33203125" bestFit="1" customWidth="1"/>
    <col min="18" max="18" width="32.83203125" bestFit="1" customWidth="1"/>
    <col min="19" max="19" width="18.33203125" bestFit="1" customWidth="1"/>
    <col min="20" max="20" width="15" bestFit="1" customWidth="1"/>
    <col min="21" max="23" width="8.6640625" customWidth="1"/>
    <col min="24" max="24" width="15" bestFit="1" customWidth="1"/>
    <col min="25" max="27" width="8.6640625" customWidth="1"/>
  </cols>
  <sheetData>
    <row r="1" spans="1:27" ht="14.25" customHeight="1" x14ac:dyDescent="0.2">
      <c r="A1" s="2" t="s">
        <v>0</v>
      </c>
      <c r="D1" s="12" t="s">
        <v>1</v>
      </c>
      <c r="E1" s="2"/>
      <c r="F1" s="2"/>
      <c r="G1" s="2"/>
      <c r="H1" s="2"/>
      <c r="I1" s="2"/>
      <c r="J1" s="2"/>
      <c r="K1" s="2"/>
      <c r="L1" s="4"/>
      <c r="M1" s="5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7" ht="14.25" customHeight="1" x14ac:dyDescent="0.2">
      <c r="A2" s="2" t="s">
        <v>2</v>
      </c>
      <c r="D2" s="4"/>
      <c r="E2" s="2"/>
      <c r="F2" s="2" t="s">
        <v>3</v>
      </c>
      <c r="G2" s="2"/>
      <c r="H2" s="2"/>
      <c r="I2" s="2"/>
      <c r="J2" s="2"/>
      <c r="K2" s="2"/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7" ht="14.25" customHeight="1" x14ac:dyDescent="0.2">
      <c r="A3" s="2"/>
      <c r="B3" s="1" t="s">
        <v>4</v>
      </c>
      <c r="C3" s="1" t="s">
        <v>5</v>
      </c>
      <c r="D3" s="1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2" t="s">
        <v>12</v>
      </c>
      <c r="K3" s="2" t="s">
        <v>13</v>
      </c>
      <c r="L3" s="2" t="s">
        <v>14</v>
      </c>
      <c r="M3" s="2" t="s">
        <v>15</v>
      </c>
      <c r="N3" s="2" t="s">
        <v>16</v>
      </c>
      <c r="O3" s="2" t="s">
        <v>17</v>
      </c>
      <c r="P3" s="2" t="s">
        <v>18</v>
      </c>
      <c r="Q3" s="2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</row>
    <row r="4" spans="1:27" ht="14.25" customHeight="1" x14ac:dyDescent="0.2">
      <c r="A4" s="2" t="s">
        <v>30</v>
      </c>
      <c r="B4" s="5">
        <v>19189496535714</v>
      </c>
      <c r="C4" s="5">
        <v>18047481428571</v>
      </c>
      <c r="D4" s="5">
        <v>17227573439597</v>
      </c>
      <c r="E4" s="5">
        <v>15886383333333</v>
      </c>
      <c r="F4" s="5">
        <v>14580815081169</v>
      </c>
      <c r="G4" s="5">
        <v>14619914494196</v>
      </c>
      <c r="H4" s="5">
        <v>13980610613893</v>
      </c>
      <c r="I4" s="5">
        <v>12766261376702</v>
      </c>
      <c r="J4" s="5">
        <v>13503189704433</v>
      </c>
      <c r="K4" s="5">
        <v>12882307892235</v>
      </c>
      <c r="L4" s="5">
        <v>12381820970724</v>
      </c>
      <c r="M4" s="5">
        <v>12334644565217</v>
      </c>
      <c r="N4" s="5">
        <v>11325048408408</v>
      </c>
      <c r="O4" s="5">
        <v>11020926611446</v>
      </c>
      <c r="P4" s="5">
        <v>11286421729559.75</v>
      </c>
      <c r="Q4" s="5">
        <v>11028397774390.24</v>
      </c>
      <c r="R4" s="5">
        <v>10560298900445.77</v>
      </c>
      <c r="S4" s="5">
        <v>9966590200860.832</v>
      </c>
      <c r="T4" s="5"/>
      <c r="U4" s="7"/>
      <c r="V4" s="7"/>
      <c r="W4" s="7"/>
      <c r="X4" s="7"/>
      <c r="Y4" s="7"/>
      <c r="Z4" s="7"/>
      <c r="AA4" s="7"/>
    </row>
    <row r="5" spans="1:27" ht="14.25" customHeight="1" x14ac:dyDescent="0.2">
      <c r="A5" s="2" t="s">
        <v>31</v>
      </c>
      <c r="B5" s="5">
        <v>2979297232143</v>
      </c>
      <c r="C5" s="5">
        <v>2927146258503</v>
      </c>
      <c r="D5" s="5">
        <v>2887927147651</v>
      </c>
      <c r="E5" s="5">
        <v>2184739283333</v>
      </c>
      <c r="F5" s="5">
        <v>1349429951299</v>
      </c>
      <c r="G5" s="5">
        <v>1366961492537</v>
      </c>
      <c r="H5" s="5">
        <v>1499000096931</v>
      </c>
      <c r="I5" s="5">
        <v>1229991785174</v>
      </c>
      <c r="J5" s="5">
        <v>1289915648604</v>
      </c>
      <c r="K5" s="5">
        <v>1417295277338</v>
      </c>
      <c r="L5" s="5">
        <v>1457045855162</v>
      </c>
      <c r="M5" s="5">
        <v>1741458509317</v>
      </c>
      <c r="N5" s="5">
        <v>973281951952</v>
      </c>
      <c r="O5" s="5">
        <v>1191006762048</v>
      </c>
      <c r="P5" s="5">
        <v>1370668490566.0381</v>
      </c>
      <c r="Q5" s="5">
        <v>1142124496951.219</v>
      </c>
      <c r="R5" s="5">
        <v>1296301263001.4861</v>
      </c>
      <c r="S5" s="5">
        <v>1052012410329.986</v>
      </c>
      <c r="T5" s="5"/>
      <c r="U5" s="7"/>
      <c r="V5" s="7"/>
      <c r="W5" s="7"/>
      <c r="X5" s="7"/>
      <c r="Y5" s="7"/>
      <c r="Z5" s="7"/>
      <c r="AA5" s="7"/>
    </row>
    <row r="6" spans="1:27" ht="14.25" customHeight="1" x14ac:dyDescent="0.2">
      <c r="A6" s="2" t="s">
        <v>32</v>
      </c>
      <c r="B6" s="5">
        <v>409296625000</v>
      </c>
      <c r="C6" s="5">
        <v>671137295918</v>
      </c>
      <c r="D6" s="5">
        <v>417496359060</v>
      </c>
      <c r="E6" s="5">
        <v>390399600000</v>
      </c>
      <c r="F6" s="5">
        <v>70624772727</v>
      </c>
      <c r="G6" s="5">
        <v>47900281924</v>
      </c>
      <c r="H6" s="5">
        <v>73296995153</v>
      </c>
      <c r="I6" s="5">
        <v>142554009077</v>
      </c>
      <c r="J6" s="5">
        <v>175804548440</v>
      </c>
      <c r="K6" s="5">
        <v>54720950872</v>
      </c>
      <c r="L6" s="5">
        <v>143608274268</v>
      </c>
      <c r="M6" s="5">
        <v>277259378882</v>
      </c>
      <c r="N6" s="5">
        <v>56026486486</v>
      </c>
      <c r="O6" s="5">
        <v>95256641566</v>
      </c>
      <c r="P6" s="5">
        <v>162569716981.13211</v>
      </c>
      <c r="Q6" s="5">
        <v>146141859756.0975</v>
      </c>
      <c r="R6" s="17">
        <v>184978038633</v>
      </c>
      <c r="S6" s="5">
        <v>331786255380.20093</v>
      </c>
      <c r="T6" s="5"/>
      <c r="U6" s="7"/>
      <c r="V6" s="7"/>
      <c r="W6" s="7"/>
      <c r="X6" s="7"/>
      <c r="Y6" s="7"/>
      <c r="Z6" s="7"/>
      <c r="AA6" s="7"/>
    </row>
    <row r="7" spans="1:27" ht="14.25" customHeight="1" x14ac:dyDescent="0.2">
      <c r="A7" s="2" t="s">
        <v>33</v>
      </c>
      <c r="B7" s="5">
        <v>11803092071429</v>
      </c>
      <c r="C7" s="5">
        <v>11364988384354</v>
      </c>
      <c r="D7" s="5">
        <v>11138182298658</v>
      </c>
      <c r="E7" s="5">
        <v>10153818500000</v>
      </c>
      <c r="F7" s="5">
        <v>9575570211039</v>
      </c>
      <c r="G7" s="5">
        <v>9921723548922</v>
      </c>
      <c r="H7" s="5">
        <v>9570979579968</v>
      </c>
      <c r="I7" s="5">
        <v>8849227080182</v>
      </c>
      <c r="J7" s="5">
        <v>9266104597701</v>
      </c>
      <c r="K7" s="5">
        <v>8790164072900</v>
      </c>
      <c r="L7" s="5">
        <v>8335133990755</v>
      </c>
      <c r="M7" s="5">
        <v>8302537375776</v>
      </c>
      <c r="N7" s="5">
        <v>7478349204204</v>
      </c>
      <c r="O7" s="5">
        <v>7212862966867</v>
      </c>
      <c r="P7" s="5">
        <v>7390895959119</v>
      </c>
      <c r="Q7" s="5">
        <v>7248177850609.7549</v>
      </c>
      <c r="R7" s="13">
        <v>6892214918276.375</v>
      </c>
      <c r="S7" s="5">
        <v>6491908593974.1758</v>
      </c>
      <c r="T7" s="5"/>
      <c r="U7" s="7"/>
      <c r="V7" s="7"/>
      <c r="W7" s="7"/>
      <c r="X7" s="7"/>
      <c r="Y7" s="7"/>
      <c r="Z7" s="7"/>
      <c r="AA7" s="7"/>
    </row>
    <row r="8" spans="1:27" ht="14.25" customHeight="1" x14ac:dyDescent="0.2">
      <c r="A8" s="2" t="s">
        <v>34</v>
      </c>
      <c r="B8" s="5">
        <v>1090018553571</v>
      </c>
      <c r="C8" s="5">
        <v>834453248299</v>
      </c>
      <c r="D8" s="5">
        <v>956825738255</v>
      </c>
      <c r="E8" s="5">
        <v>1852997600000</v>
      </c>
      <c r="F8" s="5">
        <v>1556383457792</v>
      </c>
      <c r="G8" s="5">
        <v>1315414726368</v>
      </c>
      <c r="H8" s="5">
        <v>1033713780291</v>
      </c>
      <c r="I8" s="5">
        <v>789302329803</v>
      </c>
      <c r="J8" s="5">
        <v>819519967159</v>
      </c>
      <c r="K8" s="5">
        <v>767365721078</v>
      </c>
      <c r="L8" s="5">
        <v>757654699538</v>
      </c>
      <c r="M8" s="5">
        <v>759932531056</v>
      </c>
      <c r="N8" s="5">
        <v>1956975885886</v>
      </c>
      <c r="O8" s="5">
        <v>1691064608434</v>
      </c>
      <c r="P8" s="5">
        <v>1503778443396</v>
      </c>
      <c r="Q8" s="5">
        <v>1221905746951.219</v>
      </c>
      <c r="R8" s="5">
        <v>959718053491.82776</v>
      </c>
      <c r="S8" s="5">
        <v>1468543529411.7649</v>
      </c>
      <c r="T8" s="5"/>
      <c r="U8" s="7"/>
      <c r="V8" s="7"/>
      <c r="W8" s="7"/>
      <c r="X8" s="7"/>
      <c r="Y8" s="7"/>
      <c r="Z8" s="7"/>
      <c r="AA8" s="7"/>
    </row>
    <row r="9" spans="1:27" ht="14.25" customHeight="1" x14ac:dyDescent="0.2">
      <c r="A9" s="2" t="s">
        <v>35</v>
      </c>
      <c r="B9" s="5">
        <v>7353328160714</v>
      </c>
      <c r="C9" s="5">
        <v>6663430374150</v>
      </c>
      <c r="D9" s="5">
        <v>6077018808725</v>
      </c>
      <c r="E9" s="5">
        <v>5721647966667</v>
      </c>
      <c r="F9" s="5">
        <v>4997574155844</v>
      </c>
      <c r="G9" s="5">
        <v>4693880281924</v>
      </c>
      <c r="H9" s="5">
        <v>4408820920840</v>
      </c>
      <c r="I9" s="5">
        <v>3915716959153</v>
      </c>
      <c r="J9" s="5">
        <v>4236824334975</v>
      </c>
      <c r="K9" s="5">
        <v>4090532551506</v>
      </c>
      <c r="L9" s="5">
        <v>4045221879815</v>
      </c>
      <c r="M9" s="5">
        <v>4028813990683</v>
      </c>
      <c r="N9" s="5">
        <v>3842490600601</v>
      </c>
      <c r="O9" s="5">
        <v>3811828644578</v>
      </c>
      <c r="P9" s="5">
        <v>3896822720126</v>
      </c>
      <c r="Q9" s="5">
        <v>3782433125000</v>
      </c>
      <c r="R9" s="13">
        <v>3670567132243.6851</v>
      </c>
      <c r="S9" s="5">
        <v>3475782496413.2002</v>
      </c>
      <c r="T9" s="5"/>
      <c r="U9" s="7"/>
      <c r="V9" s="7"/>
      <c r="W9" s="7"/>
      <c r="X9" s="7"/>
      <c r="Y9" s="7"/>
      <c r="Z9" s="7"/>
      <c r="AA9" s="7"/>
    </row>
    <row r="10" spans="1:27" ht="14.25" customHeight="1" x14ac:dyDescent="0.2">
      <c r="A10" s="2" t="s">
        <v>36</v>
      </c>
      <c r="B10" s="5">
        <v>1433061178571</v>
      </c>
      <c r="C10" s="5">
        <v>506688826531</v>
      </c>
      <c r="D10" s="5">
        <v>1708406359060</v>
      </c>
      <c r="E10" s="5">
        <v>1174628250000</v>
      </c>
      <c r="F10" s="5">
        <v>566102840909</v>
      </c>
      <c r="G10" s="5">
        <v>170563117745</v>
      </c>
      <c r="H10" s="5">
        <v>168944313409</v>
      </c>
      <c r="I10" s="5">
        <v>-58920756430</v>
      </c>
      <c r="J10" s="5">
        <v>-63835024631</v>
      </c>
      <c r="K10" s="5">
        <v>-66303692552</v>
      </c>
      <c r="L10" s="5">
        <v>224495208012</v>
      </c>
      <c r="M10" s="5">
        <v>169652484472</v>
      </c>
      <c r="N10" s="5">
        <v>109699054054</v>
      </c>
      <c r="O10" s="5">
        <v>73026460843</v>
      </c>
      <c r="P10" s="5">
        <v>228784339623</v>
      </c>
      <c r="Q10" s="5">
        <v>231810807926.82932</v>
      </c>
      <c r="R10" s="5">
        <v>210274992570.5795</v>
      </c>
      <c r="S10" s="5">
        <v>135587948350.0717</v>
      </c>
      <c r="T10" s="5"/>
      <c r="U10" s="7"/>
      <c r="V10" s="7"/>
      <c r="W10" s="7"/>
      <c r="X10" s="7"/>
      <c r="Y10" s="7"/>
      <c r="Z10" s="7"/>
      <c r="AA10" s="7"/>
    </row>
    <row r="11" spans="1:27" ht="14.25" customHeight="1" x14ac:dyDescent="0.2">
      <c r="A11" s="6" t="s">
        <v>37</v>
      </c>
      <c r="B11" s="5">
        <v>5755149375000</v>
      </c>
      <c r="C11" s="5">
        <v>2328361428571</v>
      </c>
      <c r="D11" s="5">
        <v>8326003741611</v>
      </c>
      <c r="E11" s="5">
        <v>5478341016667</v>
      </c>
      <c r="F11" s="5">
        <v>3125823311688</v>
      </c>
      <c r="G11" s="5">
        <v>1505426948590</v>
      </c>
      <c r="H11" s="5">
        <v>4646508513732</v>
      </c>
      <c r="I11" s="5">
        <v>3257286263238</v>
      </c>
      <c r="J11" s="5">
        <v>2345676732348</v>
      </c>
      <c r="K11" s="5">
        <v>903510570523</v>
      </c>
      <c r="L11" s="5">
        <v>3846390878274</v>
      </c>
      <c r="M11" s="5">
        <v>2675790916149</v>
      </c>
      <c r="N11" s="5">
        <v>1732177147147</v>
      </c>
      <c r="O11" s="5">
        <v>851079141566</v>
      </c>
      <c r="P11" s="5">
        <v>3403714968553</v>
      </c>
      <c r="Q11" s="5">
        <v>2525081006097.561</v>
      </c>
      <c r="R11" s="5">
        <v>1777560772659.7329</v>
      </c>
      <c r="S11" s="5">
        <v>1149631348637.0161</v>
      </c>
      <c r="T11" s="5"/>
      <c r="U11" s="7"/>
      <c r="V11" s="7"/>
      <c r="W11" s="7"/>
      <c r="X11" s="7"/>
      <c r="Y11" s="7"/>
      <c r="Z11" s="7"/>
      <c r="AA11" s="7"/>
    </row>
    <row r="12" spans="1:27" ht="14.25" customHeight="1" x14ac:dyDescent="0.2">
      <c r="A12" s="2" t="s">
        <v>38</v>
      </c>
      <c r="B12" s="5">
        <v>1645245910714</v>
      </c>
      <c r="C12" s="5">
        <v>827912023810</v>
      </c>
      <c r="D12" s="5">
        <v>879448909396</v>
      </c>
      <c r="E12" s="5">
        <v>1450888483333</v>
      </c>
      <c r="F12" s="5">
        <v>675487191558</v>
      </c>
      <c r="G12" s="5">
        <v>355914096186</v>
      </c>
      <c r="H12" s="5">
        <v>1454744103393</v>
      </c>
      <c r="I12" s="5">
        <v>1002810680787</v>
      </c>
      <c r="J12" s="5">
        <v>776953957307</v>
      </c>
      <c r="K12" s="5">
        <v>332297448494</v>
      </c>
      <c r="L12" s="5">
        <v>327001402157</v>
      </c>
      <c r="M12" s="5">
        <v>9790403727</v>
      </c>
      <c r="N12" s="5">
        <v>905774459459</v>
      </c>
      <c r="O12" s="5">
        <v>375205030120</v>
      </c>
      <c r="P12" s="5">
        <v>853635345912</v>
      </c>
      <c r="Q12" s="5">
        <v>560685746951.21948</v>
      </c>
      <c r="R12" s="5">
        <v>247243491827.63751</v>
      </c>
      <c r="S12" s="5">
        <v>522079942611.19092</v>
      </c>
      <c r="T12" s="5"/>
      <c r="U12" s="7"/>
      <c r="V12" s="7"/>
      <c r="W12" s="7"/>
      <c r="X12" s="7"/>
      <c r="Y12" s="7"/>
      <c r="Z12" s="7"/>
      <c r="AA12" s="7"/>
    </row>
    <row r="13" spans="1:27" ht="14.25" customHeight="1" x14ac:dyDescent="0.2">
      <c r="A13" s="2" t="s">
        <v>39</v>
      </c>
      <c r="B13" s="5">
        <v>25235000000</v>
      </c>
      <c r="C13" s="5">
        <v>25235000000</v>
      </c>
      <c r="D13" s="5">
        <v>25235000000</v>
      </c>
      <c r="E13" s="5">
        <v>24835000000</v>
      </c>
      <c r="F13" s="5">
        <v>24835000000</v>
      </c>
      <c r="G13" s="5">
        <v>24835000000</v>
      </c>
      <c r="H13" s="5">
        <v>24835000000</v>
      </c>
      <c r="I13" s="5">
        <v>24835000000</v>
      </c>
      <c r="J13" s="5">
        <v>24835000000</v>
      </c>
      <c r="K13" s="5">
        <v>24835000000</v>
      </c>
      <c r="L13" s="5">
        <v>24835000000</v>
      </c>
      <c r="M13" s="5">
        <v>24835000000</v>
      </c>
      <c r="N13" s="5">
        <v>24835000000</v>
      </c>
      <c r="O13" s="5">
        <v>24835000000</v>
      </c>
      <c r="P13" s="5">
        <v>24835000000</v>
      </c>
      <c r="Q13" s="5">
        <v>24835000000</v>
      </c>
      <c r="R13" s="5">
        <v>24835000000</v>
      </c>
      <c r="S13" s="5">
        <v>24835000000</v>
      </c>
      <c r="T13" s="5"/>
      <c r="U13" s="7"/>
      <c r="V13" s="7"/>
      <c r="W13" s="7"/>
      <c r="X13" s="7"/>
      <c r="Y13" s="7"/>
      <c r="Z13" s="7"/>
      <c r="AA13" s="7"/>
    </row>
    <row r="14" spans="1:27" ht="14.25" customHeight="1" x14ac:dyDescent="0.2">
      <c r="A14" s="2" t="s">
        <v>40</v>
      </c>
      <c r="B14" s="4">
        <v>1225</v>
      </c>
      <c r="C14" s="4">
        <v>1110</v>
      </c>
      <c r="D14" s="4">
        <v>1410</v>
      </c>
      <c r="E14" s="4">
        <v>1190</v>
      </c>
      <c r="F14" s="4">
        <v>665</v>
      </c>
      <c r="G14" s="4">
        <v>545</v>
      </c>
      <c r="H14" s="5">
        <v>344</v>
      </c>
      <c r="I14" s="5">
        <v>262</v>
      </c>
      <c r="J14" s="5">
        <v>292</v>
      </c>
      <c r="K14" s="5">
        <v>258</v>
      </c>
      <c r="L14" s="5">
        <v>302</v>
      </c>
      <c r="M14" s="5">
        <v>354</v>
      </c>
      <c r="N14" s="5">
        <v>372</v>
      </c>
      <c r="O14" s="5">
        <v>334</v>
      </c>
      <c r="P14" s="5">
        <v>336</v>
      </c>
      <c r="Q14" s="5">
        <v>340</v>
      </c>
      <c r="R14" s="5">
        <v>366</v>
      </c>
      <c r="S14" s="5">
        <v>352</v>
      </c>
      <c r="T14" s="5">
        <v>394</v>
      </c>
      <c r="U14" s="7">
        <v>600</v>
      </c>
      <c r="V14" s="7">
        <v>590</v>
      </c>
      <c r="W14" s="4">
        <v>570</v>
      </c>
      <c r="X14" s="7">
        <v>570</v>
      </c>
      <c r="Y14" s="7">
        <v>570</v>
      </c>
      <c r="Z14" s="7">
        <v>1140</v>
      </c>
      <c r="AA14" s="7">
        <v>1140</v>
      </c>
    </row>
    <row r="15" spans="1:27" ht="14.25" customHeight="1" x14ac:dyDescent="0.2">
      <c r="A15" s="8" t="s">
        <v>41</v>
      </c>
      <c r="B15" s="6">
        <f t="shared" ref="B15:AA15" si="0">B9/B13</f>
        <v>291.3940226159699</v>
      </c>
      <c r="C15" s="6">
        <f t="shared" si="0"/>
        <v>264.05509705369525</v>
      </c>
      <c r="D15" s="6">
        <f t="shared" si="0"/>
        <v>240.81707187339012</v>
      </c>
      <c r="E15" s="6">
        <f t="shared" si="0"/>
        <v>230.38646936448561</v>
      </c>
      <c r="F15" s="6">
        <f t="shared" si="0"/>
        <v>201.23109143724582</v>
      </c>
      <c r="G15" s="6">
        <f t="shared" si="0"/>
        <v>189.00262862589088</v>
      </c>
      <c r="H15" s="6">
        <f t="shared" si="0"/>
        <v>177.52449852385746</v>
      </c>
      <c r="I15" s="6">
        <f t="shared" si="0"/>
        <v>157.66929571785786</v>
      </c>
      <c r="J15" s="6">
        <f t="shared" si="0"/>
        <v>170.59892631266359</v>
      </c>
      <c r="K15" s="6">
        <f>K9/K13</f>
        <v>164.70837735075497</v>
      </c>
      <c r="L15" s="6">
        <f t="shared" si="0"/>
        <v>162.88390899194684</v>
      </c>
      <c r="M15" s="6">
        <f t="shared" si="0"/>
        <v>162.22323296488827</v>
      </c>
      <c r="N15" s="6">
        <f t="shared" si="0"/>
        <v>154.72078117982684</v>
      </c>
      <c r="O15" s="6">
        <f t="shared" si="0"/>
        <v>153.48615440217435</v>
      </c>
      <c r="P15" s="6">
        <f t="shared" si="0"/>
        <v>156.90850493762835</v>
      </c>
      <c r="Q15" s="6">
        <f t="shared" si="0"/>
        <v>152.30252164284275</v>
      </c>
      <c r="R15" s="6">
        <f t="shared" si="0"/>
        <v>147.79815310020879</v>
      </c>
      <c r="S15" s="6">
        <f t="shared" si="0"/>
        <v>139.95500287550635</v>
      </c>
      <c r="T15" s="6" t="e">
        <f t="shared" si="0"/>
        <v>#DIV/0!</v>
      </c>
      <c r="U15" s="6" t="e">
        <f t="shared" si="0"/>
        <v>#DIV/0!</v>
      </c>
      <c r="V15" s="6" t="e">
        <f t="shared" si="0"/>
        <v>#DIV/0!</v>
      </c>
      <c r="W15" s="6" t="e">
        <f t="shared" si="0"/>
        <v>#DIV/0!</v>
      </c>
      <c r="X15" s="9" t="e">
        <f t="shared" si="0"/>
        <v>#DIV/0!</v>
      </c>
      <c r="Y15" s="9" t="e">
        <f t="shared" si="0"/>
        <v>#DIV/0!</v>
      </c>
      <c r="Z15" s="9" t="e">
        <f t="shared" si="0"/>
        <v>#DIV/0!</v>
      </c>
      <c r="AA15" s="9" t="e">
        <f t="shared" si="0"/>
        <v>#DIV/0!</v>
      </c>
    </row>
    <row r="16" spans="1:27" ht="14.25" customHeight="1" x14ac:dyDescent="0.2">
      <c r="A16" s="8" t="s">
        <v>42</v>
      </c>
      <c r="B16" s="6">
        <f t="shared" ref="B16:AA16" si="1">B5-B7</f>
        <v>-8823794839286</v>
      </c>
      <c r="C16" s="6">
        <f t="shared" si="1"/>
        <v>-8437842125851</v>
      </c>
      <c r="D16" s="6">
        <f t="shared" si="1"/>
        <v>-8250255151007</v>
      </c>
      <c r="E16" s="6">
        <f t="shared" si="1"/>
        <v>-7969079216667</v>
      </c>
      <c r="F16" s="6">
        <f t="shared" si="1"/>
        <v>-8226140259740</v>
      </c>
      <c r="G16" s="6">
        <f t="shared" si="1"/>
        <v>-8554762056385</v>
      </c>
      <c r="H16" s="6">
        <f t="shared" si="1"/>
        <v>-8071979483037</v>
      </c>
      <c r="I16" s="6">
        <f t="shared" si="1"/>
        <v>-7619235295008</v>
      </c>
      <c r="J16" s="6">
        <f t="shared" si="1"/>
        <v>-7976188949097</v>
      </c>
      <c r="K16" s="6">
        <f t="shared" si="1"/>
        <v>-7372868795562</v>
      </c>
      <c r="L16" s="6">
        <f t="shared" si="1"/>
        <v>-6878088135593</v>
      </c>
      <c r="M16" s="6">
        <f t="shared" si="1"/>
        <v>-6561078866459</v>
      </c>
      <c r="N16" s="6">
        <f t="shared" si="1"/>
        <v>-6505067252252</v>
      </c>
      <c r="O16" s="6">
        <f t="shared" si="1"/>
        <v>-6021856204819</v>
      </c>
      <c r="P16" s="6">
        <f t="shared" si="1"/>
        <v>-6020227468552.9619</v>
      </c>
      <c r="Q16" s="6">
        <f t="shared" si="1"/>
        <v>-6106053353658.5361</v>
      </c>
      <c r="R16" s="6">
        <f t="shared" si="1"/>
        <v>-5595913655274.8887</v>
      </c>
      <c r="S16" s="6">
        <f t="shared" si="1"/>
        <v>-5439896183644.1895</v>
      </c>
      <c r="T16" s="6">
        <f t="shared" si="1"/>
        <v>0</v>
      </c>
      <c r="U16" s="6">
        <f t="shared" si="1"/>
        <v>0</v>
      </c>
      <c r="V16" s="6">
        <f t="shared" si="1"/>
        <v>0</v>
      </c>
      <c r="W16" s="6">
        <f t="shared" si="1"/>
        <v>0</v>
      </c>
      <c r="X16" s="9">
        <f t="shared" si="1"/>
        <v>0</v>
      </c>
      <c r="Y16" s="9">
        <f t="shared" si="1"/>
        <v>0</v>
      </c>
      <c r="Z16" s="9">
        <f t="shared" si="1"/>
        <v>0</v>
      </c>
      <c r="AA16" s="9">
        <f t="shared" si="1"/>
        <v>0</v>
      </c>
    </row>
    <row r="17" spans="1:27" ht="14.25" customHeight="1" x14ac:dyDescent="0.2">
      <c r="A17" s="8" t="s">
        <v>43</v>
      </c>
      <c r="B17" s="10">
        <f t="shared" ref="B17:AA17" si="2">B10/B4</f>
        <v>7.4679456853070522E-2</v>
      </c>
      <c r="C17" s="10">
        <f t="shared" si="2"/>
        <v>2.8075320566827679E-2</v>
      </c>
      <c r="D17" s="10">
        <f t="shared" si="2"/>
        <v>9.916697583963191E-2</v>
      </c>
      <c r="E17" s="10">
        <f t="shared" si="2"/>
        <v>7.3939311758604048E-2</v>
      </c>
      <c r="F17" s="10">
        <f t="shared" si="2"/>
        <v>3.8825184858157696E-2</v>
      </c>
      <c r="G17" s="10">
        <f t="shared" si="2"/>
        <v>1.1666492154431704E-2</v>
      </c>
      <c r="H17" s="10">
        <f t="shared" si="2"/>
        <v>1.2084187026932456E-2</v>
      </c>
      <c r="I17" s="10">
        <f t="shared" si="2"/>
        <v>-4.6153493721762901E-3</v>
      </c>
      <c r="J17" s="10">
        <f t="shared" si="2"/>
        <v>-4.7274033786286378E-3</v>
      </c>
      <c r="K17" s="10">
        <f t="shared" si="2"/>
        <v>-5.1468799773032531E-3</v>
      </c>
      <c r="L17" s="10">
        <f t="shared" si="2"/>
        <v>1.8131033273926681E-2</v>
      </c>
      <c r="M17" s="10">
        <f t="shared" si="2"/>
        <v>1.3754144562090618E-2</v>
      </c>
      <c r="N17" s="10">
        <f t="shared" si="2"/>
        <v>9.6864092847988772E-3</v>
      </c>
      <c r="O17" s="10">
        <f t="shared" si="2"/>
        <v>6.6261634268716509E-3</v>
      </c>
      <c r="P17" s="10">
        <f t="shared" si="2"/>
        <v>2.0270759422696516E-2</v>
      </c>
      <c r="Q17" s="10">
        <f t="shared" si="2"/>
        <v>2.1019445677334225E-2</v>
      </c>
      <c r="R17" s="10">
        <f t="shared" si="2"/>
        <v>1.9911840995495252E-2</v>
      </c>
      <c r="S17" s="10">
        <f t="shared" si="2"/>
        <v>1.3604246348802496E-2</v>
      </c>
      <c r="T17" s="10" t="e">
        <f t="shared" si="2"/>
        <v>#DIV/0!</v>
      </c>
      <c r="U17" s="10" t="e">
        <f t="shared" si="2"/>
        <v>#DIV/0!</v>
      </c>
      <c r="V17" s="10" t="e">
        <f t="shared" si="2"/>
        <v>#DIV/0!</v>
      </c>
      <c r="W17" s="10" t="e">
        <f t="shared" si="2"/>
        <v>#DIV/0!</v>
      </c>
      <c r="X17" s="10" t="e">
        <f t="shared" si="2"/>
        <v>#DIV/0!</v>
      </c>
      <c r="Y17" s="10" t="e">
        <f t="shared" si="2"/>
        <v>#DIV/0!</v>
      </c>
      <c r="Z17" s="10" t="e">
        <f t="shared" si="2"/>
        <v>#DIV/0!</v>
      </c>
      <c r="AA17" s="10" t="e">
        <f t="shared" si="2"/>
        <v>#DIV/0!</v>
      </c>
    </row>
    <row r="18" spans="1:27" ht="14.25" customHeight="1" x14ac:dyDescent="0.2">
      <c r="A18" s="8" t="s">
        <v>44</v>
      </c>
      <c r="B18" s="10">
        <f t="shared" ref="B18:AA18" si="3">B10/B9</f>
        <v>0.19488606345998455</v>
      </c>
      <c r="C18" s="10">
        <f t="shared" si="3"/>
        <v>7.604023724726533E-2</v>
      </c>
      <c r="D18" s="10">
        <f t="shared" si="3"/>
        <v>0.2811257316839596</v>
      </c>
      <c r="E18" s="10">
        <f t="shared" si="3"/>
        <v>0.20529544229968585</v>
      </c>
      <c r="F18" s="10">
        <f t="shared" si="3"/>
        <v>0.11327552593632209</v>
      </c>
      <c r="G18" s="10">
        <f t="shared" si="3"/>
        <v>3.6337338726305769E-2</v>
      </c>
      <c r="H18" s="10">
        <f t="shared" si="3"/>
        <v>3.8319613439144071E-2</v>
      </c>
      <c r="I18" s="10">
        <f t="shared" si="3"/>
        <v>-1.504724602023968E-2</v>
      </c>
      <c r="J18" s="10">
        <f t="shared" si="3"/>
        <v>-1.5066714969521309E-2</v>
      </c>
      <c r="K18" s="10">
        <f t="shared" si="3"/>
        <v>-1.6209061220546737E-2</v>
      </c>
      <c r="L18" s="10">
        <f t="shared" si="3"/>
        <v>5.5496389241884263E-2</v>
      </c>
      <c r="M18" s="10">
        <f t="shared" si="3"/>
        <v>4.2109783391424092E-2</v>
      </c>
      <c r="N18" s="10">
        <f t="shared" si="3"/>
        <v>2.85489453212565E-2</v>
      </c>
      <c r="O18" s="10">
        <f t="shared" si="3"/>
        <v>1.9157855101087477E-2</v>
      </c>
      <c r="P18" s="10">
        <f t="shared" si="3"/>
        <v>5.8710481860360965E-2</v>
      </c>
      <c r="Q18" s="10">
        <f t="shared" si="3"/>
        <v>6.1286161649409018E-2</v>
      </c>
      <c r="R18" s="10">
        <f t="shared" si="3"/>
        <v>5.7286785664112341E-2</v>
      </c>
      <c r="S18" s="10">
        <f t="shared" si="3"/>
        <v>3.9009330557936338E-2</v>
      </c>
      <c r="T18" s="10" t="e">
        <f t="shared" si="3"/>
        <v>#DIV/0!</v>
      </c>
      <c r="U18" s="10" t="e">
        <f t="shared" si="3"/>
        <v>#DIV/0!</v>
      </c>
      <c r="V18" s="10" t="e">
        <f t="shared" si="3"/>
        <v>#DIV/0!</v>
      </c>
      <c r="W18" s="10" t="e">
        <f t="shared" si="3"/>
        <v>#DIV/0!</v>
      </c>
      <c r="X18" s="10" t="e">
        <f t="shared" si="3"/>
        <v>#DIV/0!</v>
      </c>
      <c r="Y18" s="10" t="e">
        <f t="shared" si="3"/>
        <v>#DIV/0!</v>
      </c>
      <c r="Z18" s="10" t="e">
        <f t="shared" si="3"/>
        <v>#DIV/0!</v>
      </c>
      <c r="AA18" s="10" t="e">
        <f t="shared" si="3"/>
        <v>#DIV/0!</v>
      </c>
    </row>
    <row r="19" spans="1:27" ht="14.25" customHeight="1" x14ac:dyDescent="0.2">
      <c r="A19" s="8" t="s">
        <v>45</v>
      </c>
      <c r="B19" s="11">
        <f t="shared" ref="B19:AA19" si="4">B14/B15</f>
        <v>4.2039297477780986</v>
      </c>
      <c r="C19" s="11">
        <f t="shared" si="4"/>
        <v>4.2036681449640145</v>
      </c>
      <c r="D19" s="11">
        <f t="shared" si="4"/>
        <v>5.8550666239364846</v>
      </c>
      <c r="E19" s="11">
        <f t="shared" si="4"/>
        <v>5.1652338927827683</v>
      </c>
      <c r="F19" s="11">
        <f t="shared" si="4"/>
        <v>3.3046583172132777</v>
      </c>
      <c r="G19" s="11">
        <f t="shared" si="4"/>
        <v>2.8835577788643629</v>
      </c>
      <c r="H19" s="11">
        <f t="shared" si="4"/>
        <v>1.9377607195649673</v>
      </c>
      <c r="I19" s="11">
        <f t="shared" si="4"/>
        <v>1.6617059067025786</v>
      </c>
      <c r="J19" s="11">
        <f t="shared" si="4"/>
        <v>1.7116168683549609</v>
      </c>
      <c r="K19" s="11">
        <f t="shared" si="4"/>
        <v>1.5664048432131397</v>
      </c>
      <c r="L19" s="11">
        <f t="shared" si="4"/>
        <v>1.8540812402465809</v>
      </c>
      <c r="M19" s="11">
        <f t="shared" si="4"/>
        <v>2.1821781845305726</v>
      </c>
      <c r="N19" s="11">
        <f t="shared" si="4"/>
        <v>2.4043311904406472</v>
      </c>
      <c r="O19" s="11">
        <f t="shared" si="4"/>
        <v>2.1760920475265255</v>
      </c>
      <c r="P19" s="11">
        <f t="shared" si="4"/>
        <v>2.1413753201814085</v>
      </c>
      <c r="Q19" s="11">
        <f t="shared" si="4"/>
        <v>2.2323990196125414</v>
      </c>
      <c r="R19" s="11">
        <f t="shared" si="4"/>
        <v>2.4763502947959566</v>
      </c>
      <c r="S19" s="11">
        <f t="shared" si="4"/>
        <v>2.5150940857263477</v>
      </c>
      <c r="T19" s="11" t="e">
        <f t="shared" si="4"/>
        <v>#DIV/0!</v>
      </c>
      <c r="U19" s="11" t="e">
        <f t="shared" si="4"/>
        <v>#DIV/0!</v>
      </c>
      <c r="V19" s="11" t="e">
        <f t="shared" si="4"/>
        <v>#DIV/0!</v>
      </c>
      <c r="W19" s="11" t="e">
        <f t="shared" si="4"/>
        <v>#DIV/0!</v>
      </c>
      <c r="X19" s="9" t="e">
        <f t="shared" si="4"/>
        <v>#DIV/0!</v>
      </c>
      <c r="Y19" s="9" t="e">
        <f t="shared" si="4"/>
        <v>#DIV/0!</v>
      </c>
      <c r="Z19" s="9" t="e">
        <f t="shared" si="4"/>
        <v>#DIV/0!</v>
      </c>
      <c r="AA19" s="9" t="e">
        <f t="shared" si="4"/>
        <v>#DIV/0!</v>
      </c>
    </row>
    <row r="20" spans="1:27" ht="14.25" customHeight="1" x14ac:dyDescent="0.2">
      <c r="A20" s="8" t="s">
        <v>46</v>
      </c>
      <c r="B20" s="11">
        <f t="shared" ref="B20:AA20" si="5">B14/B21</f>
        <v>21.571217936993641</v>
      </c>
      <c r="C20" s="11">
        <f t="shared" si="5"/>
        <v>55.282154516360258</v>
      </c>
      <c r="D20" s="11">
        <f t="shared" si="5"/>
        <v>20.827217020883477</v>
      </c>
      <c r="E20" s="11">
        <f t="shared" si="5"/>
        <v>25.160002749806161</v>
      </c>
      <c r="F20" s="11">
        <f t="shared" si="5"/>
        <v>29.173630313321112</v>
      </c>
      <c r="G20" s="11">
        <f t="shared" si="5"/>
        <v>79.35522743102986</v>
      </c>
      <c r="H20" s="11">
        <f t="shared" si="5"/>
        <v>50.568378583524932</v>
      </c>
      <c r="I20" s="11">
        <f t="shared" si="5"/>
        <v>-110.43256051422692</v>
      </c>
      <c r="J20" s="11">
        <f t="shared" si="5"/>
        <v>-113.60252528951516</v>
      </c>
      <c r="K20" s="11">
        <f t="shared" si="5"/>
        <v>-96.637604232597525</v>
      </c>
      <c r="L20" s="11">
        <f t="shared" si="5"/>
        <v>33.40904274268113</v>
      </c>
      <c r="M20" s="11">
        <f t="shared" si="5"/>
        <v>51.821168592735773</v>
      </c>
      <c r="N20" s="11">
        <f t="shared" si="5"/>
        <v>84.21786386099771</v>
      </c>
      <c r="O20" s="11">
        <f t="shared" si="5"/>
        <v>113.58745726200851</v>
      </c>
      <c r="P20" s="11">
        <f t="shared" si="5"/>
        <v>36.473475473673155</v>
      </c>
      <c r="Q20" s="11">
        <f t="shared" si="5"/>
        <v>36.425825333671682</v>
      </c>
      <c r="R20" s="11">
        <f t="shared" si="5"/>
        <v>43.227251557024985</v>
      </c>
      <c r="S20" s="11">
        <f t="shared" si="5"/>
        <v>64.474166814807305</v>
      </c>
      <c r="T20" s="11" t="e">
        <f t="shared" si="5"/>
        <v>#DIV/0!</v>
      </c>
      <c r="U20" s="11" t="e">
        <f t="shared" si="5"/>
        <v>#DIV/0!</v>
      </c>
      <c r="V20" s="11" t="e">
        <f t="shared" si="5"/>
        <v>#DIV/0!</v>
      </c>
      <c r="W20" s="11" t="e">
        <f t="shared" si="5"/>
        <v>#DIV/0!</v>
      </c>
      <c r="X20" s="9" t="e">
        <f t="shared" si="5"/>
        <v>#DIV/0!</v>
      </c>
      <c r="Y20" s="9" t="e">
        <f t="shared" si="5"/>
        <v>#DIV/0!</v>
      </c>
      <c r="Z20" s="9" t="e">
        <f t="shared" si="5"/>
        <v>#DIV/0!</v>
      </c>
      <c r="AA20" s="9" t="e">
        <f t="shared" si="5"/>
        <v>#DIV/0!</v>
      </c>
    </row>
    <row r="21" spans="1:27" ht="14.25" customHeight="1" x14ac:dyDescent="0.2">
      <c r="A21" s="8" t="s">
        <v>47</v>
      </c>
      <c r="B21" s="6">
        <f t="shared" ref="B21:AA21" si="6">B10/B13</f>
        <v>56.788633983396075</v>
      </c>
      <c r="C21" s="6">
        <f t="shared" si="6"/>
        <v>20.07881222631266</v>
      </c>
      <c r="D21" s="6">
        <f t="shared" si="6"/>
        <v>67.699875532395481</v>
      </c>
      <c r="E21" s="6">
        <f t="shared" si="6"/>
        <v>47.2972921280451</v>
      </c>
      <c r="F21" s="6">
        <f t="shared" si="6"/>
        <v>22.79455771729414</v>
      </c>
      <c r="G21" s="6">
        <f t="shared" si="6"/>
        <v>6.8678525365411716</v>
      </c>
      <c r="H21" s="6">
        <f t="shared" si="6"/>
        <v>6.8026701594121199</v>
      </c>
      <c r="I21" s="6">
        <f t="shared" si="6"/>
        <v>-2.3724886825045299</v>
      </c>
      <c r="J21" s="6">
        <f t="shared" si="6"/>
        <v>-2.570365396859271</v>
      </c>
      <c r="K21" s="6">
        <f t="shared" si="6"/>
        <v>-2.669768172015301</v>
      </c>
      <c r="L21" s="6">
        <f t="shared" si="6"/>
        <v>9.0394688146567344</v>
      </c>
      <c r="M21" s="6">
        <f t="shared" si="6"/>
        <v>6.8311852012079726</v>
      </c>
      <c r="N21" s="6">
        <f t="shared" si="6"/>
        <v>4.4171151219649687</v>
      </c>
      <c r="O21" s="6">
        <f t="shared" si="6"/>
        <v>2.9404655060599958</v>
      </c>
      <c r="P21" s="6">
        <f t="shared" si="6"/>
        <v>9.212173932876988</v>
      </c>
      <c r="Q21" s="6">
        <f t="shared" si="6"/>
        <v>9.3340369610158778</v>
      </c>
      <c r="R21" s="6">
        <f t="shared" si="6"/>
        <v>8.4668811182033217</v>
      </c>
      <c r="S21" s="6">
        <f t="shared" si="6"/>
        <v>5.459550970407558</v>
      </c>
      <c r="T21" s="6" t="e">
        <f t="shared" si="6"/>
        <v>#DIV/0!</v>
      </c>
      <c r="U21" s="6" t="e">
        <f t="shared" si="6"/>
        <v>#DIV/0!</v>
      </c>
      <c r="V21" s="6" t="e">
        <f t="shared" si="6"/>
        <v>#DIV/0!</v>
      </c>
      <c r="W21" s="6" t="e">
        <f t="shared" si="6"/>
        <v>#DIV/0!</v>
      </c>
      <c r="X21" s="9" t="e">
        <f t="shared" si="6"/>
        <v>#DIV/0!</v>
      </c>
      <c r="Y21" s="9" t="e">
        <f t="shared" si="6"/>
        <v>#DIV/0!</v>
      </c>
      <c r="Z21" s="9" t="e">
        <f t="shared" si="6"/>
        <v>#DIV/0!</v>
      </c>
      <c r="AA21" s="9" t="e">
        <f t="shared" si="6"/>
        <v>#DIV/0!</v>
      </c>
    </row>
    <row r="22" spans="1:27" ht="14.25" customHeight="1" x14ac:dyDescent="0.2">
      <c r="A22" s="8" t="s">
        <v>48</v>
      </c>
      <c r="B22" s="10">
        <f t="shared" ref="B22:AA22" si="7">B7/B9</f>
        <v>1.605136043633735</v>
      </c>
      <c r="C22" s="10">
        <f t="shared" si="7"/>
        <v>1.7055762191863135</v>
      </c>
      <c r="D22" s="10">
        <f t="shared" si="7"/>
        <v>1.8328365682637844</v>
      </c>
      <c r="E22" s="10">
        <f t="shared" si="7"/>
        <v>1.7746318122250446</v>
      </c>
      <c r="F22" s="10">
        <f t="shared" si="7"/>
        <v>1.9160436468644775</v>
      </c>
      <c r="G22" s="10">
        <f t="shared" si="7"/>
        <v>2.1137572654186081</v>
      </c>
      <c r="H22" s="10">
        <f t="shared" si="7"/>
        <v>2.1708705687561629</v>
      </c>
      <c r="I22" s="10">
        <f t="shared" si="7"/>
        <v>2.2599251101377247</v>
      </c>
      <c r="J22" s="10">
        <f t="shared" si="7"/>
        <v>2.1870400717842546</v>
      </c>
      <c r="K22" s="10">
        <f t="shared" si="7"/>
        <v>2.1489045649236429</v>
      </c>
      <c r="L22" s="10">
        <f t="shared" si="7"/>
        <v>2.0604887045494253</v>
      </c>
      <c r="M22" s="10">
        <f t="shared" si="7"/>
        <v>2.0607894519271368</v>
      </c>
      <c r="N22" s="10">
        <f t="shared" si="7"/>
        <v>1.9462244626009806</v>
      </c>
      <c r="O22" s="10">
        <f t="shared" si="7"/>
        <v>1.8922316922946367</v>
      </c>
      <c r="P22" s="10">
        <f t="shared" si="7"/>
        <v>1.8966467016698216</v>
      </c>
      <c r="Q22" s="10">
        <f t="shared" si="7"/>
        <v>1.9162738933050547</v>
      </c>
      <c r="R22" s="10">
        <f t="shared" si="7"/>
        <v>1.8776975518939529</v>
      </c>
      <c r="S22" s="10">
        <f t="shared" si="7"/>
        <v>1.8677545561822231</v>
      </c>
      <c r="T22" s="10" t="e">
        <f t="shared" si="7"/>
        <v>#DIV/0!</v>
      </c>
      <c r="U22" s="10" t="e">
        <f t="shared" si="7"/>
        <v>#DIV/0!</v>
      </c>
      <c r="V22" s="10" t="e">
        <f t="shared" si="7"/>
        <v>#DIV/0!</v>
      </c>
      <c r="W22" s="10" t="e">
        <f t="shared" si="7"/>
        <v>#DIV/0!</v>
      </c>
      <c r="X22" s="10" t="e">
        <f t="shared" si="7"/>
        <v>#DIV/0!</v>
      </c>
      <c r="Y22" s="10" t="e">
        <f t="shared" si="7"/>
        <v>#DIV/0!</v>
      </c>
      <c r="Z22" s="10" t="e">
        <f t="shared" si="7"/>
        <v>#DIV/0!</v>
      </c>
      <c r="AA22" s="10" t="e">
        <f t="shared" si="7"/>
        <v>#DIV/0!</v>
      </c>
    </row>
    <row r="23" spans="1:27" ht="14.25" customHeight="1" x14ac:dyDescent="0.2"/>
    <row r="24" spans="1:27" ht="14.25" customHeight="1" x14ac:dyDescent="0.2"/>
    <row r="25" spans="1:27" ht="14.25" customHeight="1" x14ac:dyDescent="0.2">
      <c r="D25" s="18"/>
      <c r="E25" s="18"/>
      <c r="F25" s="18"/>
      <c r="G25" s="18"/>
      <c r="H25" s="18"/>
      <c r="I25" s="18"/>
      <c r="J25" s="18"/>
      <c r="K25" s="18"/>
      <c r="L25" s="18"/>
      <c r="M25" s="18"/>
    </row>
    <row r="26" spans="1:27" ht="14.25" customHeight="1" x14ac:dyDescent="0.2"/>
    <row r="27" spans="1:27" ht="14.25" customHeight="1" x14ac:dyDescent="0.2"/>
    <row r="28" spans="1:27" ht="14.25" customHeight="1" x14ac:dyDescent="0.2"/>
    <row r="29" spans="1:27" ht="14.25" customHeight="1" x14ac:dyDescent="0.2"/>
    <row r="30" spans="1:27" ht="14.25" customHeight="1" x14ac:dyDescent="0.2"/>
    <row r="31" spans="1:27" ht="14.25" customHeight="1" x14ac:dyDescent="0.2"/>
    <row r="32" spans="1:27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"/>
  <sheetViews>
    <sheetView workbookViewId="0">
      <selection activeCell="D2" sqref="D2"/>
    </sheetView>
  </sheetViews>
  <sheetFormatPr baseColWidth="10" defaultRowHeight="15" x14ac:dyDescent="0.2"/>
  <cols>
    <col min="3" max="3" width="11.83203125" bestFit="1" customWidth="1"/>
    <col min="4" max="4" width="19.33203125" bestFit="1" customWidth="1"/>
    <col min="6" max="7" width="15.6640625" bestFit="1" customWidth="1"/>
    <col min="8" max="8" width="17.33203125" bestFit="1" customWidth="1"/>
  </cols>
  <sheetData>
    <row r="1" spans="1:8" x14ac:dyDescent="0.2">
      <c r="A1" t="s">
        <v>49</v>
      </c>
      <c r="B1" t="s">
        <v>50</v>
      </c>
      <c r="C1" t="s">
        <v>51</v>
      </c>
      <c r="D1" t="s">
        <v>52</v>
      </c>
    </row>
    <row r="2" spans="1:8" x14ac:dyDescent="0.2">
      <c r="A2" s="15">
        <v>6.0900000000000003E-2</v>
      </c>
      <c r="B2">
        <f>1000/A2</f>
        <v>16420.361247947454</v>
      </c>
      <c r="C2" s="16">
        <v>822344253</v>
      </c>
      <c r="D2" s="13">
        <f>B2*C2</f>
        <v>13503189704433.496</v>
      </c>
      <c r="F2" s="13">
        <v>939896509146.34131</v>
      </c>
      <c r="G2" s="13">
        <v>282009237804.87799</v>
      </c>
      <c r="H2" s="14">
        <f>F2+G2</f>
        <v>1221905746951.2192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"/>
  <sheetViews>
    <sheetView workbookViewId="0"/>
  </sheetViews>
  <sheetFormatPr baseColWidth="10" defaultColWidth="12.6640625" defaultRowHeight="15" customHeight="1" x14ac:dyDescent="0.2"/>
  <cols>
    <col min="1" max="1" width="27.83203125" customWidth="1"/>
    <col min="2" max="2" width="25.1640625" customWidth="1"/>
    <col min="3" max="3" width="24.5" customWidth="1"/>
  </cols>
  <sheetData>
    <row r="1" spans="1:4" x14ac:dyDescent="0.2">
      <c r="A1" s="1" t="s">
        <v>53</v>
      </c>
      <c r="B1" s="1" t="s">
        <v>54</v>
      </c>
      <c r="C1" s="1" t="s">
        <v>55</v>
      </c>
      <c r="D1" s="1" t="s">
        <v>55</v>
      </c>
    </row>
    <row r="2" spans="1:4" x14ac:dyDescent="0.2">
      <c r="A2" s="3" t="s">
        <v>56</v>
      </c>
      <c r="B2" s="1" t="s">
        <v>57</v>
      </c>
      <c r="C2" s="1">
        <v>3734</v>
      </c>
      <c r="D2" s="1" t="s">
        <v>58</v>
      </c>
    </row>
    <row r="3" spans="1:4" x14ac:dyDescent="0.2">
      <c r="A3" s="1" t="s">
        <v>59</v>
      </c>
      <c r="B3" s="1" t="s">
        <v>60</v>
      </c>
      <c r="C3" s="1">
        <v>6365</v>
      </c>
      <c r="D3" s="1" t="s">
        <v>58</v>
      </c>
    </row>
    <row r="4" spans="1:4" x14ac:dyDescent="0.2">
      <c r="A4" s="3" t="s">
        <v>61</v>
      </c>
      <c r="B4" s="3" t="s">
        <v>62</v>
      </c>
      <c r="C4" s="3">
        <v>6267</v>
      </c>
      <c r="D4" s="1" t="s">
        <v>58</v>
      </c>
    </row>
    <row r="5" spans="1:4" x14ac:dyDescent="0.2">
      <c r="A5" s="3" t="s">
        <v>63</v>
      </c>
      <c r="B5" s="3" t="s">
        <v>64</v>
      </c>
      <c r="C5" s="3">
        <v>5029</v>
      </c>
      <c r="D5" s="1" t="s">
        <v>58</v>
      </c>
    </row>
    <row r="6" spans="1:4" x14ac:dyDescent="0.2">
      <c r="A6" s="3" t="s">
        <v>65</v>
      </c>
      <c r="B6" s="3" t="s">
        <v>64</v>
      </c>
      <c r="C6" s="3">
        <v>10794</v>
      </c>
      <c r="D6" s="1" t="s">
        <v>58</v>
      </c>
    </row>
    <row r="7" spans="1:4" x14ac:dyDescent="0.2">
      <c r="A7" s="3" t="s">
        <v>66</v>
      </c>
      <c r="B7" s="3" t="s">
        <v>64</v>
      </c>
      <c r="C7" s="3">
        <v>3356</v>
      </c>
      <c r="D7" s="1" t="s">
        <v>58</v>
      </c>
    </row>
    <row r="8" spans="1:4" x14ac:dyDescent="0.2">
      <c r="A8" s="1" t="s">
        <v>67</v>
      </c>
      <c r="B8" s="3" t="s">
        <v>64</v>
      </c>
      <c r="C8" s="3">
        <v>16348</v>
      </c>
      <c r="D8" s="1" t="s">
        <v>58</v>
      </c>
    </row>
    <row r="9" spans="1:4" x14ac:dyDescent="0.2">
      <c r="A9" s="3" t="s">
        <v>68</v>
      </c>
      <c r="B9" s="3" t="s">
        <v>69</v>
      </c>
      <c r="C9" s="3">
        <v>1528</v>
      </c>
      <c r="D9" s="1" t="s">
        <v>58</v>
      </c>
    </row>
    <row r="10" spans="1:4" x14ac:dyDescent="0.2">
      <c r="A10" s="3" t="s">
        <v>70</v>
      </c>
      <c r="B10" s="3" t="s">
        <v>69</v>
      </c>
      <c r="C10" s="3">
        <v>11009</v>
      </c>
      <c r="D10" s="1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lokasi kebun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Digitaloffice05679</dc:creator>
  <cp:lastModifiedBy>Muhammad Najmi Rahmani</cp:lastModifiedBy>
  <dcterms:created xsi:type="dcterms:W3CDTF">2025-11-28T07:59:29Z</dcterms:created>
  <dcterms:modified xsi:type="dcterms:W3CDTF">2026-09-06T14:33:36Z</dcterms:modified>
</cp:coreProperties>
</file>