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7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41" fontId="0" fillId="0" borderId="0" pivotButton="0" quotePrefix="0" xfId="1"/>
    <xf numFmtId="4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41" fontId="3" fillId="0" borderId="0" pivotButton="0" quotePrefix="0" xfId="1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tabSelected="1" workbookViewId="0">
      <pane xSplit="1" topLeftCell="B1" activePane="topRight" state="frozen"/>
      <selection pane="topRight" activeCell="B24" sqref="B24:K41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8.33203125" bestFit="1" customWidth="1" min="8" max="8"/>
    <col width="19.5" customWidth="1" min="9" max="9"/>
    <col width="18.33203125" bestFit="1" customWidth="1" min="10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4" t="inlineStr">
        <is>
          <t>AADI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18" t="n">
        <v>112883535714286</v>
      </c>
      <c r="C4" s="18" t="n">
        <v>97975254237288</v>
      </c>
      <c r="D4" s="18" t="n">
        <v>95104600000000</v>
      </c>
      <c r="E4" s="18" t="n">
        <v>101865400000000</v>
      </c>
      <c r="F4" s="18" t="n">
        <v>98194661290323</v>
      </c>
      <c r="G4" s="18" t="n">
        <v>97129483333333</v>
      </c>
      <c r="H4" s="18" t="n">
        <v>96655774193548</v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5" t="n"/>
      <c r="U4" s="7" t="n"/>
      <c r="V4" s="7" t="n"/>
      <c r="W4" s="7" t="n"/>
      <c r="X4" s="7" t="n"/>
      <c r="Y4" s="7" t="n"/>
      <c r="Z4" s="7" t="n"/>
      <c r="AA4" s="7" t="n"/>
    </row>
    <row r="5" ht="14.25" customHeight="1">
      <c r="A5" s="2" t="inlineStr">
        <is>
          <t>total aset lancar</t>
        </is>
      </c>
      <c r="B5" s="18" t="n">
        <v>53798803571429</v>
      </c>
      <c r="C5" s="18" t="n">
        <v>30654152542373</v>
      </c>
      <c r="D5" s="18" t="n">
        <v>29937866666667</v>
      </c>
      <c r="E5" s="18" t="n">
        <v>37098000000000</v>
      </c>
      <c r="F5" s="18" t="n">
        <v>35429500000000</v>
      </c>
      <c r="G5" s="18" t="n">
        <v>33287716666667</v>
      </c>
      <c r="H5" s="18" t="n">
        <v>35710516129032</v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5" t="n"/>
      <c r="U5" s="7" t="n"/>
      <c r="V5" s="7" t="n"/>
      <c r="W5" s="7" t="n"/>
      <c r="X5" s="7" t="n"/>
      <c r="Y5" s="7" t="n"/>
      <c r="Z5" s="7" t="n"/>
      <c r="AA5" s="7" t="n"/>
    </row>
    <row r="6" ht="14.25" customHeight="1">
      <c r="A6" s="2" t="inlineStr">
        <is>
          <t>KAS</t>
        </is>
      </c>
      <c r="B6" s="18" t="n">
        <v>21413000000000</v>
      </c>
      <c r="C6" s="18" t="n">
        <v>15498830508475</v>
      </c>
      <c r="D6" s="18" t="n">
        <v>15424083333333</v>
      </c>
      <c r="E6" s="18" t="n">
        <v>23617166666667</v>
      </c>
      <c r="F6" s="18" t="n">
        <v>23128129032258</v>
      </c>
      <c r="G6" s="18" t="n">
        <v>22638883333333</v>
      </c>
      <c r="H6" s="18" t="n">
        <v>24494967741935</v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5" t="n"/>
      <c r="U6" s="7" t="n"/>
      <c r="V6" s="7" t="n"/>
      <c r="W6" s="7" t="n"/>
      <c r="X6" s="7" t="n"/>
      <c r="Y6" s="7" t="n"/>
      <c r="Z6" s="7" t="n"/>
      <c r="AA6" s="7" t="n"/>
    </row>
    <row r="7" ht="14.25" customHeight="1">
      <c r="A7" s="2" t="inlineStr">
        <is>
          <t>liabilitas</t>
        </is>
      </c>
      <c r="B7" s="18" t="n">
        <v>42628553571429</v>
      </c>
      <c r="C7" s="18" t="n">
        <v>33886610169492</v>
      </c>
      <c r="D7" s="18" t="n">
        <v>34277466666667</v>
      </c>
      <c r="E7" s="18" t="n">
        <v>38653366666667</v>
      </c>
      <c r="F7" s="18" t="n">
        <v>38095661290323</v>
      </c>
      <c r="G7" s="18" t="n">
        <v>38993233333333</v>
      </c>
      <c r="H7" s="18" t="n">
        <v>42406064516129</v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5" t="n"/>
      <c r="U7" s="7" t="n"/>
      <c r="V7" s="7" t="n"/>
      <c r="W7" s="7" t="n"/>
      <c r="X7" s="7" t="n"/>
      <c r="Y7" s="7" t="n"/>
      <c r="Z7" s="7" t="n"/>
      <c r="AA7" s="7" t="n"/>
    </row>
    <row r="8" ht="14.25" customHeight="1">
      <c r="A8" s="2" t="inlineStr">
        <is>
          <t>Utang Bank SAJA Jangka Pendek + Panjang jatuh tempo</t>
        </is>
      </c>
      <c r="B8" s="18" t="n">
        <v>1722928571429</v>
      </c>
      <c r="C8" s="18" t="n">
        <v>730915254237</v>
      </c>
      <c r="D8" s="18" t="n">
        <v>610033333333</v>
      </c>
      <c r="E8" s="18" t="n">
        <v>187483333333</v>
      </c>
      <c r="F8" s="18" t="n">
        <v>349516129032</v>
      </c>
      <c r="G8" s="18" t="n">
        <v>591466666667</v>
      </c>
      <c r="H8" s="18" t="n">
        <v>11074016129032</v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5" t="n"/>
      <c r="U8" s="7" t="n"/>
      <c r="V8" s="7" t="n"/>
      <c r="W8" s="7" t="n"/>
      <c r="X8" s="7" t="n"/>
      <c r="Y8" s="7" t="n"/>
      <c r="Z8" s="7" t="n"/>
      <c r="AA8" s="7" t="n"/>
    </row>
    <row r="9" ht="14.25" customHeight="1">
      <c r="A9" s="2" t="inlineStr">
        <is>
          <t>ekuitas</t>
        </is>
      </c>
      <c r="B9" s="18" t="n">
        <v>64073357142857</v>
      </c>
      <c r="C9" s="18" t="n">
        <v>58889322033898</v>
      </c>
      <c r="D9" s="18" t="n">
        <v>55559166666667</v>
      </c>
      <c r="E9" s="18" t="n">
        <v>57743633333333</v>
      </c>
      <c r="F9" s="18" t="n">
        <v>54454048387097</v>
      </c>
      <c r="G9" s="18" t="n">
        <v>52686266666667</v>
      </c>
      <c r="H9" s="18" t="n">
        <v>48369209677419</v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5" t="n"/>
      <c r="U9" s="7" t="n"/>
      <c r="V9" s="7" t="n"/>
      <c r="W9" s="7" t="n"/>
      <c r="X9" s="7" t="n"/>
      <c r="Y9" s="7" t="n"/>
      <c r="Z9" s="7" t="n"/>
      <c r="AA9" s="7" t="n"/>
    </row>
    <row r="10" ht="14.25" customHeight="1">
      <c r="A10" s="2" t="inlineStr">
        <is>
          <t>laba bersih</t>
        </is>
      </c>
      <c r="B10" s="18" t="n">
        <v>8460089285714</v>
      </c>
      <c r="C10" s="18" t="n">
        <v>2424372881356</v>
      </c>
      <c r="D10" s="18" t="n">
        <v>12669666666667</v>
      </c>
      <c r="E10" s="18" t="n">
        <v>9788733333333</v>
      </c>
      <c r="F10" s="18" t="n">
        <v>6914241935484</v>
      </c>
      <c r="G10" s="18" t="n">
        <v>3266600000000</v>
      </c>
      <c r="H10" s="18" t="n">
        <v>19529000000000</v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5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>
      <c r="A11" s="6" t="inlineStr">
        <is>
          <t>pendapatan dari kontrak dengan pelanggan</t>
        </is>
      </c>
      <c r="B11" s="18" t="n">
        <v>45474928571429</v>
      </c>
      <c r="C11" s="18" t="n">
        <v>17698169491525</v>
      </c>
      <c r="D11" s="18" t="n">
        <v>81837716666667</v>
      </c>
      <c r="E11" s="18" t="n">
        <v>60152133333333</v>
      </c>
      <c r="F11" s="18" t="n">
        <v>38702500000000</v>
      </c>
      <c r="G11" s="18" t="n">
        <v>19407283333333</v>
      </c>
      <c r="H11" s="18" t="n">
        <v>85799709677419</v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5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>
      <c r="A12" s="2" t="inlineStr">
        <is>
          <t>kas dari aktivitas operasi</t>
        </is>
      </c>
      <c r="B12" s="18" t="n">
        <v>8033392857143</v>
      </c>
      <c r="C12" s="18" t="n">
        <v>767610169492</v>
      </c>
      <c r="D12" s="18" t="n">
        <v>14320700000000</v>
      </c>
      <c r="E12" s="18" t="n">
        <v>11414916666667</v>
      </c>
      <c r="F12" s="18" t="n">
        <v>8745548387097</v>
      </c>
      <c r="G12" s="18" t="n">
        <v>5444250000000</v>
      </c>
      <c r="H12" s="18" t="n">
        <v>19330887096774</v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5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>
      <c r="A13" s="2" t="inlineStr">
        <is>
          <t>total share</t>
        </is>
      </c>
      <c r="B13" s="18" t="n">
        <v>7786891760</v>
      </c>
      <c r="C13" s="18" t="n">
        <v>7786891760</v>
      </c>
      <c r="D13" s="18" t="n">
        <v>7786891760</v>
      </c>
      <c r="E13" s="18" t="n">
        <v>7786891760</v>
      </c>
      <c r="F13" s="18" t="n">
        <v>7786891760</v>
      </c>
      <c r="G13" s="18" t="n">
        <v>7786891760</v>
      </c>
      <c r="H13" s="18" t="n">
        <v>7786891760</v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5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>
      <c r="A14" s="2" t="inlineStr">
        <is>
          <t>Harga saham rupiah</t>
        </is>
      </c>
      <c r="B14" s="4" t="n">
        <v>9725</v>
      </c>
      <c r="C14" s="4" t="n">
        <v>8125</v>
      </c>
      <c r="D14" s="4" t="n">
        <v>8950</v>
      </c>
      <c r="E14" s="4" t="n">
        <v>8750</v>
      </c>
      <c r="F14" s="4" t="n">
        <v>6875</v>
      </c>
      <c r="G14" s="4" t="n">
        <v>7175</v>
      </c>
      <c r="H14" s="5" t="n">
        <v>7300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7" t="n"/>
      <c r="V14" s="7" t="n"/>
      <c r="W14" s="4" t="n"/>
      <c r="X14" s="7" t="n"/>
      <c r="Y14" s="7" t="n"/>
      <c r="Z14" s="7" t="n"/>
      <c r="AA14" s="7" t="n"/>
    </row>
    <row r="15" ht="14.25" customHeight="1">
      <c r="A15" s="8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E9/E13</f>
        <v/>
      </c>
      <c r="F15" s="6">
        <f>F9/F13</f>
        <v/>
      </c>
      <c r="G15" s="6">
        <f>G9/G13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9">
        <f>X9/X13</f>
        <v/>
      </c>
      <c r="Y15" s="9">
        <f>Y9/Y13</f>
        <v/>
      </c>
      <c r="Z15" s="9">
        <f>Z9/Z13</f>
        <v/>
      </c>
      <c r="AA15" s="9">
        <f>AA9/AA13</f>
        <v/>
      </c>
    </row>
    <row r="16" ht="14.25" customHeight="1">
      <c r="A16" s="8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9">
        <f>X5-X7</f>
        <v/>
      </c>
      <c r="Y16" s="9">
        <f>Y5-Y7</f>
        <v/>
      </c>
      <c r="Z16" s="9">
        <f>Z5-Z7</f>
        <v/>
      </c>
      <c r="AA16" s="9">
        <f>AA5-AA7</f>
        <v/>
      </c>
    </row>
    <row r="17" ht="14.25" customHeight="1">
      <c r="A17" s="8" t="inlineStr">
        <is>
          <t>ROA</t>
        </is>
      </c>
      <c r="B17" s="10">
        <f>B10/B4</f>
        <v/>
      </c>
      <c r="C17" s="10">
        <f>C10/C4</f>
        <v/>
      </c>
      <c r="D17" s="10">
        <f>D10/D4</f>
        <v/>
      </c>
      <c r="E17" s="10">
        <f>E10/E4</f>
        <v/>
      </c>
      <c r="F17" s="10">
        <f>F10/F4</f>
        <v/>
      </c>
      <c r="G17" s="10">
        <f>G10/G4</f>
        <v/>
      </c>
      <c r="H17" s="10">
        <f>H10/H4</f>
        <v/>
      </c>
      <c r="I17" s="10">
        <f>I10/I4</f>
        <v/>
      </c>
      <c r="J17" s="10">
        <f>J10/J4</f>
        <v/>
      </c>
      <c r="K17" s="10">
        <f>K10/K4</f>
        <v/>
      </c>
      <c r="L17" s="10">
        <f>L10/L4</f>
        <v/>
      </c>
      <c r="M17" s="10">
        <f>M10/M4</f>
        <v/>
      </c>
      <c r="N17" s="10">
        <f>N10/N4</f>
        <v/>
      </c>
      <c r="O17" s="10">
        <f>O10/O4</f>
        <v/>
      </c>
      <c r="P17" s="10">
        <f>P10/P4</f>
        <v/>
      </c>
      <c r="Q17" s="10">
        <f>Q10/Q4</f>
        <v/>
      </c>
      <c r="R17" s="10">
        <f>R10/R4</f>
        <v/>
      </c>
      <c r="S17" s="10">
        <f>S10/S4</f>
        <v/>
      </c>
      <c r="T17" s="10">
        <f>T10/T4</f>
        <v/>
      </c>
      <c r="U17" s="10">
        <f>U10/U4</f>
        <v/>
      </c>
      <c r="V17" s="10">
        <f>V10/V4</f>
        <v/>
      </c>
      <c r="W17" s="10">
        <f>W10/W4</f>
        <v/>
      </c>
      <c r="X17" s="10">
        <f>X10/X4</f>
        <v/>
      </c>
      <c r="Y17" s="10">
        <f>Y10/Y4</f>
        <v/>
      </c>
      <c r="Z17" s="10">
        <f>Z10/Z4</f>
        <v/>
      </c>
      <c r="AA17" s="10">
        <f>AA10/AA4</f>
        <v/>
      </c>
    </row>
    <row r="18" ht="14.25" customHeight="1">
      <c r="A18" s="8" t="inlineStr">
        <is>
          <t>ROE</t>
        </is>
      </c>
      <c r="B18" s="10">
        <f>B10/B9</f>
        <v/>
      </c>
      <c r="C18" s="10">
        <f>C10/C9</f>
        <v/>
      </c>
      <c r="D18" s="10">
        <f>D10/D9</f>
        <v/>
      </c>
      <c r="E18" s="10">
        <f>E10/E9</f>
        <v/>
      </c>
      <c r="F18" s="10">
        <f>F10/F9</f>
        <v/>
      </c>
      <c r="G18" s="10">
        <f>G10/G9</f>
        <v/>
      </c>
      <c r="H18" s="10">
        <f>H10/H9</f>
        <v/>
      </c>
      <c r="I18" s="10">
        <f>I10/I9</f>
        <v/>
      </c>
      <c r="J18" s="10">
        <f>J10/J9</f>
        <v/>
      </c>
      <c r="K18" s="10">
        <f>K10/K9</f>
        <v/>
      </c>
      <c r="L18" s="10">
        <f>L10/L9</f>
        <v/>
      </c>
      <c r="M18" s="10">
        <f>M10/M9</f>
        <v/>
      </c>
      <c r="N18" s="10">
        <f>N10/N9</f>
        <v/>
      </c>
      <c r="O18" s="10">
        <f>O10/O9</f>
        <v/>
      </c>
      <c r="P18" s="10">
        <f>P10/P9</f>
        <v/>
      </c>
      <c r="Q18" s="10">
        <f>Q10/Q9</f>
        <v/>
      </c>
      <c r="R18" s="10">
        <f>R10/R9</f>
        <v/>
      </c>
      <c r="S18" s="10">
        <f>S10/S9</f>
        <v/>
      </c>
      <c r="T18" s="10">
        <f>T10/T9</f>
        <v/>
      </c>
      <c r="U18" s="10">
        <f>U10/U9</f>
        <v/>
      </c>
      <c r="V18" s="10">
        <f>V10/V9</f>
        <v/>
      </c>
      <c r="W18" s="10">
        <f>W10/W9</f>
        <v/>
      </c>
      <c r="X18" s="10">
        <f>X10/X9</f>
        <v/>
      </c>
      <c r="Y18" s="10">
        <f>Y10/Y9</f>
        <v/>
      </c>
      <c r="Z18" s="10">
        <f>Z10/Z9</f>
        <v/>
      </c>
      <c r="AA18" s="10">
        <f>AA10/AA9</f>
        <v/>
      </c>
    </row>
    <row r="19" ht="14.25" customHeight="1">
      <c r="A19" s="8" t="inlineStr">
        <is>
          <t>PBV</t>
        </is>
      </c>
      <c r="B19" s="11">
        <f>B14/B15</f>
        <v/>
      </c>
      <c r="C19" s="11">
        <f>C14/C15</f>
        <v/>
      </c>
      <c r="D19" s="11">
        <f>D14/D15</f>
        <v/>
      </c>
      <c r="E19" s="11">
        <f>E14/E15</f>
        <v/>
      </c>
      <c r="F19" s="11">
        <f>F14/F15</f>
        <v/>
      </c>
      <c r="G19" s="11">
        <f>G14/G15</f>
        <v/>
      </c>
      <c r="H19" s="11">
        <f>H14/H15</f>
        <v/>
      </c>
      <c r="I19" s="11">
        <f>I14/I15</f>
        <v/>
      </c>
      <c r="J19" s="11">
        <f>J14/J15</f>
        <v/>
      </c>
      <c r="K19" s="11">
        <f>K14/K15</f>
        <v/>
      </c>
      <c r="L19" s="11">
        <f>L14/L15</f>
        <v/>
      </c>
      <c r="M19" s="11">
        <f>M14/M15</f>
        <v/>
      </c>
      <c r="N19" s="11">
        <f>N14/N15</f>
        <v/>
      </c>
      <c r="O19" s="11">
        <f>O14/O15</f>
        <v/>
      </c>
      <c r="P19" s="11">
        <f>P14/P15</f>
        <v/>
      </c>
      <c r="Q19" s="11">
        <f>Q14/Q15</f>
        <v/>
      </c>
      <c r="R19" s="11">
        <f>R14/R15</f>
        <v/>
      </c>
      <c r="S19" s="11">
        <f>S14/S15</f>
        <v/>
      </c>
      <c r="T19" s="11">
        <f>T14/T15</f>
        <v/>
      </c>
      <c r="U19" s="11">
        <f>U14/U15</f>
        <v/>
      </c>
      <c r="V19" s="11">
        <f>V14/V15</f>
        <v/>
      </c>
      <c r="W19" s="11">
        <f>W14/W15</f>
        <v/>
      </c>
      <c r="X19" s="9">
        <f>X14/X15</f>
        <v/>
      </c>
      <c r="Y19" s="9">
        <f>Y14/Y15</f>
        <v/>
      </c>
      <c r="Z19" s="9">
        <f>Z14/Z15</f>
        <v/>
      </c>
      <c r="AA19" s="9">
        <f>AA14/AA15</f>
        <v/>
      </c>
    </row>
    <row r="20" ht="14.25" customHeight="1">
      <c r="A20" s="8" t="inlineStr">
        <is>
          <t>PE</t>
        </is>
      </c>
      <c r="B20" s="11">
        <f>B14/B21</f>
        <v/>
      </c>
      <c r="C20" s="11">
        <f>C14/C21</f>
        <v/>
      </c>
      <c r="D20" s="11">
        <f>D14/D21</f>
        <v/>
      </c>
      <c r="E20" s="11">
        <f>E14/E21</f>
        <v/>
      </c>
      <c r="F20" s="11">
        <f>F14/F21</f>
        <v/>
      </c>
      <c r="G20" s="11">
        <f>G14/G21</f>
        <v/>
      </c>
      <c r="H20" s="11">
        <f>H14/H21</f>
        <v/>
      </c>
      <c r="I20" s="11">
        <f>I14/I21</f>
        <v/>
      </c>
      <c r="J20" s="11">
        <f>J14/J21</f>
        <v/>
      </c>
      <c r="K20" s="11">
        <f>K14/K21</f>
        <v/>
      </c>
      <c r="L20" s="11">
        <f>L14/L21</f>
        <v/>
      </c>
      <c r="M20" s="11">
        <f>M14/M21</f>
        <v/>
      </c>
      <c r="N20" s="11">
        <f>N14/N21</f>
        <v/>
      </c>
      <c r="O20" s="11">
        <f>O14/O21</f>
        <v/>
      </c>
      <c r="P20" s="11">
        <f>P14/P21</f>
        <v/>
      </c>
      <c r="Q20" s="11">
        <f>Q14/Q21</f>
        <v/>
      </c>
      <c r="R20" s="11">
        <f>R14/R21</f>
        <v/>
      </c>
      <c r="S20" s="11">
        <f>S14/S21</f>
        <v/>
      </c>
      <c r="T20" s="11">
        <f>T14/T21</f>
        <v/>
      </c>
      <c r="U20" s="11">
        <f>U14/U21</f>
        <v/>
      </c>
      <c r="V20" s="11">
        <f>V14/V21</f>
        <v/>
      </c>
      <c r="W20" s="11">
        <f>W14/W21</f>
        <v/>
      </c>
      <c r="X20" s="9">
        <f>X14/X21</f>
        <v/>
      </c>
      <c r="Y20" s="9">
        <f>Y14/Y21</f>
        <v/>
      </c>
      <c r="Z20" s="9">
        <f>Z14/Z21</f>
        <v/>
      </c>
      <c r="AA20" s="9">
        <f>AA14/AA21</f>
        <v/>
      </c>
    </row>
    <row r="21" ht="14.25" customHeight="1">
      <c r="A21" s="8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E10/E13</f>
        <v/>
      </c>
      <c r="F21" s="6">
        <f>F10/F13</f>
        <v/>
      </c>
      <c r="G21" s="6">
        <f>G10/G13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9">
        <f>X10/X13</f>
        <v/>
      </c>
      <c r="Y21" s="9">
        <f>Y10/Y13</f>
        <v/>
      </c>
      <c r="Z21" s="9">
        <f>Z10/Z13</f>
        <v/>
      </c>
      <c r="AA21" s="9">
        <f>AA10/AA13</f>
        <v/>
      </c>
    </row>
    <row r="22" ht="14.25" customHeight="1">
      <c r="A22" s="8" t="inlineStr">
        <is>
          <t>DER</t>
        </is>
      </c>
      <c r="B22" s="10">
        <f>B7/B9</f>
        <v/>
      </c>
      <c r="C22" s="10">
        <f>C7/C9</f>
        <v/>
      </c>
      <c r="D22" s="10">
        <f>D7/D9</f>
        <v/>
      </c>
      <c r="E22" s="10">
        <f>E7/E9</f>
        <v/>
      </c>
      <c r="F22" s="10">
        <f>F7/F9</f>
        <v/>
      </c>
      <c r="G22" s="10">
        <f>G7/G9</f>
        <v/>
      </c>
      <c r="H22" s="10">
        <f>H7/H9</f>
        <v/>
      </c>
      <c r="I22" s="10">
        <f>I7/I9</f>
        <v/>
      </c>
      <c r="J22" s="10">
        <f>J7/J9</f>
        <v/>
      </c>
      <c r="K22" s="10">
        <f>K7/K9</f>
        <v/>
      </c>
      <c r="L22" s="10">
        <f>L7/L9</f>
        <v/>
      </c>
      <c r="M22" s="10">
        <f>M7/M9</f>
        <v/>
      </c>
      <c r="N22" s="10">
        <f>N7/N9</f>
        <v/>
      </c>
      <c r="O22" s="10">
        <f>O7/O9</f>
        <v/>
      </c>
      <c r="P22" s="10">
        <f>P7/P9</f>
        <v/>
      </c>
      <c r="Q22" s="10">
        <f>Q7/Q9</f>
        <v/>
      </c>
      <c r="R22" s="10">
        <f>R7/R9</f>
        <v/>
      </c>
      <c r="S22" s="10">
        <f>S7/S9</f>
        <v/>
      </c>
      <c r="T22" s="10">
        <f>T7/T9</f>
        <v/>
      </c>
      <c r="U22" s="10">
        <f>U7/U9</f>
        <v/>
      </c>
      <c r="V22" s="10">
        <f>V7/V9</f>
        <v/>
      </c>
      <c r="W22" s="10">
        <f>W7/W9</f>
        <v/>
      </c>
      <c r="X22" s="10">
        <f>X7/X9</f>
        <v/>
      </c>
      <c r="Y22" s="10">
        <f>Y7/Y9</f>
        <v/>
      </c>
      <c r="Z22" s="10">
        <f>Z7/Z9</f>
        <v/>
      </c>
      <c r="AA22" s="10">
        <f>AA7/AA9</f>
        <v/>
      </c>
    </row>
    <row r="23" ht="14.25" customHeight="1"/>
    <row r="24" ht="14.25" customHeight="1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ht="14.25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ht="14.25" customHeight="1"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ht="14.25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4.25" customHeigh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4.25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4.25" customHeight="1"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ht="14.25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4.25" customHeight="1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 ht="14.25" customHeight="1"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ht="14.25" customHeight="1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 ht="14.25" customHeight="1"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14.25" customHeight="1"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14.25" customHeight="1"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4.25" customHeight="1"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 ht="14.25" customHeight="1"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4.25" customHeight="1"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 ht="14.25" customHeight="1"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4.25" customHeight="1"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4.25" customHeight="1"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</row>
    <row r="44" ht="14.25" customHeight="1"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</row>
    <row r="45" ht="14.25" customHeight="1"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</row>
    <row r="46" ht="14.25" customHeight="1"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</row>
    <row r="47" ht="14.25" customHeight="1"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</row>
    <row r="48" ht="14.25" customHeight="1"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</row>
    <row r="49" ht="14.25" customHeight="1"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</row>
    <row r="50" ht="14.25" customHeight="1"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</row>
    <row r="51" ht="14.25" customHeight="1"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</row>
    <row r="52" ht="14.25" customHeight="1"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</row>
    <row r="53" ht="14.25" customHeight="1"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 ht="14.25" customHeight="1"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4" t="n">
        <v>0.0673</v>
      </c>
      <c r="B2">
        <f>1000/A2</f>
        <v/>
      </c>
      <c r="C2" s="15" t="n">
        <v>247029168</v>
      </c>
      <c r="D2" s="12">
        <f>B2*C2</f>
        <v/>
      </c>
      <c r="F2" s="16" t="n">
        <v>3868963000000</v>
      </c>
      <c r="G2" s="16" t="n">
        <v>555246000000</v>
      </c>
      <c r="H2" s="13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2026-09-15T11:07:03Z</dcterms:modified>
  <cp:lastModifiedBy>Muhammad Najmi Rahmani</cp:lastModifiedBy>
</cp:coreProperties>
</file>